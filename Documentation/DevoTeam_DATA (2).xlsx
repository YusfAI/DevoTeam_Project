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500"/>
  </bookViews>
  <sheets>
    <sheet name="Opportunités" sheetId="1" r:id="rId1"/>
  </sheets>
  <definedNames>
    <definedName name="_xlnm._FilterDatabase" localSheetId="0" hidden="1">Opportunités!$A$1:$P$361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<sst xmlns="http://schemas.openxmlformats.org/spreadsheetml/2006/main" count="2897" uniqueCount="352">
  <si>
    <t>Pays</t>
  </si>
  <si>
    <t>Date de création</t>
  </si>
  <si>
    <t>Deadline</t>
  </si>
  <si>
    <t>Horaires Deadline</t>
  </si>
  <si>
    <t>Année Deadline</t>
  </si>
  <si>
    <t>Jours Rest.</t>
  </si>
  <si>
    <t>Practice</t>
  </si>
  <si>
    <t>Description de la prestation</t>
  </si>
  <si>
    <t>Lead (Acheteur)</t>
  </si>
  <si>
    <t>Types</t>
  </si>
  <si>
    <t>Statut</t>
  </si>
  <si>
    <t>Budget</t>
  </si>
  <si>
    <t>Financement</t>
  </si>
  <si>
    <t>Partenaire</t>
  </si>
  <si>
    <t>Offre financière</t>
  </si>
  <si>
    <t>Pondéré à</t>
  </si>
  <si>
    <t>Pondération</t>
  </si>
  <si>
    <t>Bénin</t>
  </si>
  <si>
    <t>Digital Transformation</t>
  </si>
  <si>
    <t>Elaboration de la stratégie de données pour des collectivités locales</t>
  </si>
  <si>
    <t>ASIN</t>
  </si>
  <si>
    <t>AMI</t>
  </si>
  <si>
    <t>Lead</t>
  </si>
  <si>
    <t>ENABEL</t>
  </si>
  <si>
    <t>-</t>
  </si>
  <si>
    <t>Tunisie</t>
  </si>
  <si>
    <t>Risk Advisory</t>
  </si>
  <si>
    <t>Mise en place d'une Politique de Sécurité des Systèmes d'Information (PSSI)</t>
  </si>
  <si>
    <t>Carrefour - UHD</t>
  </si>
  <si>
    <t>Prospection</t>
  </si>
  <si>
    <t>Offre remise</t>
  </si>
  <si>
    <t>Fonds Propres</t>
  </si>
  <si>
    <t>FTHM</t>
  </si>
  <si>
    <t>élaboration d’un plan de développement du système d’information et de communication 2026-2028</t>
  </si>
  <si>
    <t>API</t>
  </si>
  <si>
    <t>Gré à gré</t>
  </si>
  <si>
    <t>En cours de qualification</t>
  </si>
  <si>
    <t>Kfw</t>
  </si>
  <si>
    <t>Data Management</t>
  </si>
  <si>
    <t>Mission de Data Governance et cartographie des données</t>
  </si>
  <si>
    <t>DGI</t>
  </si>
  <si>
    <t>AO</t>
  </si>
  <si>
    <t>EU</t>
  </si>
  <si>
    <t>Gabon</t>
  </si>
  <si>
    <t>Mission AMOA</t>
  </si>
  <si>
    <t>Petro Gabon</t>
  </si>
  <si>
    <t>Opportunité détectée</t>
  </si>
  <si>
    <t>Keyrus</t>
  </si>
  <si>
    <t>Mauritanie</t>
  </si>
  <si>
    <t>Mise en place d'un tableau de bord de pilotage (Business Intelligence)</t>
  </si>
  <si>
    <t>WARDIP</t>
  </si>
  <si>
    <t>DP</t>
  </si>
  <si>
    <t>Offre gagnée</t>
  </si>
  <si>
    <t>AFD</t>
  </si>
  <si>
    <t>Togo</t>
  </si>
  <si>
    <t>Ministère des Finances du Togo</t>
  </si>
  <si>
    <t>Suisse</t>
  </si>
  <si>
    <t>Medianet</t>
  </si>
  <si>
    <t>Recrutement d'un cabinet pour l'audit organisationnel de la DSI</t>
  </si>
  <si>
    <t>INTT</t>
  </si>
  <si>
    <t>BEI</t>
  </si>
  <si>
    <t>Urbanisation des architectures des SI sectoriels critiques et mise en place de gouvernance local d'architecture</t>
  </si>
  <si>
    <t>Offre signée</t>
  </si>
  <si>
    <t>Elaboration d'un modèle de référence pour la cyber-résilience et pour la mise en place de Plan de Continuité d'Activité pour les entreprises opérant des infrastructures d'information critiques</t>
  </si>
  <si>
    <t>En cours de préparation</t>
  </si>
  <si>
    <t>Recrutement d'un consultant pour assurer l'audit des effectifs et des compétences des agents de la Fonction Publique</t>
  </si>
  <si>
    <t>Projet de Gouvernement Économique et de Délivrance des Services au Bénin (PGEDS)</t>
  </si>
  <si>
    <t>Offre perdue</t>
  </si>
  <si>
    <t>Banque Mondiale</t>
  </si>
  <si>
    <t>Data Gouv</t>
  </si>
  <si>
    <t>DIGITECH</t>
  </si>
  <si>
    <t>Complément d'information</t>
  </si>
  <si>
    <t>IMCG</t>
  </si>
  <si>
    <t>Côte d'Ivoire</t>
  </si>
  <si>
    <t>Mise en conformité avec la réglementation sur la protection des données</t>
  </si>
  <si>
    <t>CDC-CI</t>
  </si>
  <si>
    <t>Propal shortlistée</t>
  </si>
  <si>
    <t>BAD</t>
  </si>
  <si>
    <t>Expertise Advisors</t>
  </si>
  <si>
    <t>France</t>
  </si>
  <si>
    <t>PCA</t>
  </si>
  <si>
    <t>Orange Bank</t>
  </si>
  <si>
    <t>Etude digitalisation services publics Mauritanie</t>
  </si>
  <si>
    <t>Elaboration du Plan de Continuité d'Activité (PCA)</t>
  </si>
  <si>
    <t>GESTOCI</t>
  </si>
  <si>
    <t>Cameroun</t>
  </si>
  <si>
    <t>Etude de cadrage pour la mise en place d'un ERP</t>
  </si>
  <si>
    <t>GIMAC</t>
  </si>
  <si>
    <t>ANADEC</t>
  </si>
  <si>
    <t>Etude d'urbanisation du Système d'Information</t>
  </si>
  <si>
    <t>CIE Côte d'Ivoire</t>
  </si>
  <si>
    <t>Cost killing</t>
  </si>
  <si>
    <t>BTK</t>
  </si>
  <si>
    <t>Hors scope</t>
  </si>
  <si>
    <t>Accompagnement à la Transformation Digitale</t>
  </si>
  <si>
    <t>Al Baraka</t>
  </si>
  <si>
    <t>Recrutement d'un cabinet pour la mission d'audit de sécurité du système d'information de la Direction Générale des Impôts (DGI)</t>
  </si>
  <si>
    <t>Non shortlisté</t>
  </si>
  <si>
    <t>Manifestation remise</t>
  </si>
  <si>
    <t>Mission d'assistance technique pour la gouvernance des données</t>
  </si>
  <si>
    <t>Poste Tunisienne</t>
  </si>
  <si>
    <t>GIZ</t>
  </si>
  <si>
    <t>Manif shortlistée</t>
  </si>
  <si>
    <t>Préparation du nouveau SDSI (2026-2030)</t>
  </si>
  <si>
    <t>UNDP</t>
  </si>
  <si>
    <t>Pragma</t>
  </si>
  <si>
    <t>Assistance technique pour les études préalables, l’actualisation des sous-projets et l’élaboration des cahiers des charges des outils relatifs à la composante « Renforcement de la gouvernance numérique du secteur public au Congo ».</t>
  </si>
  <si>
    <t>PATN</t>
  </si>
  <si>
    <t>Banque Tunisienne de Solidarité (BTS)</t>
  </si>
  <si>
    <t>Consultation</t>
  </si>
  <si>
    <t>Testing factory ( Régie ) / Renforcement capacité DSI ( AMOA / PMO )</t>
  </si>
  <si>
    <t>Mise en oeuvre PCA</t>
  </si>
  <si>
    <t>Office du Commerce Tunisien (OCT)</t>
  </si>
  <si>
    <t>Avant-vente</t>
  </si>
  <si>
    <t>Assistance à Maîtrise d'Ouvrage (AMOA) pour la refonte du SI</t>
  </si>
  <si>
    <t>ONEAD</t>
  </si>
  <si>
    <t>Optimisation des processus</t>
  </si>
  <si>
    <t>Elaboration de l'outil de gestion prévisionnelle des emplois et compétences (GPEC)</t>
  </si>
  <si>
    <t>Société des Aéroports du Bénin</t>
  </si>
  <si>
    <t>Renforcement des capacités en cybersécurité (formation RSSI)</t>
  </si>
  <si>
    <t>Enda TAO</t>
  </si>
  <si>
    <t>PSSI</t>
  </si>
  <si>
    <t>Agence Nationale des Transports Terrestres</t>
  </si>
  <si>
    <t>Mission Gouvernance des Données (prévoir une réunion avec DSI et RSSI (qui est aussi le responsable de la partie Data))</t>
  </si>
  <si>
    <t>DWT</t>
  </si>
  <si>
    <t>Maroc</t>
  </si>
  <si>
    <t>Appui industrialisation des couches API</t>
  </si>
  <si>
    <t>BMCI</t>
  </si>
  <si>
    <t>ADDINN</t>
  </si>
  <si>
    <t>Plan de Continuité de Service (IT)</t>
  </si>
  <si>
    <t>Sénégal</t>
  </si>
  <si>
    <t>Accompagnement au changement pour le déploiement d'un nouvel ERP</t>
  </si>
  <si>
    <t>BCEAO</t>
  </si>
  <si>
    <t>Burkina Faso</t>
  </si>
  <si>
    <t>MAJ du PCA</t>
  </si>
  <si>
    <t>Instittut National de la Statistique et de la Démographie</t>
  </si>
  <si>
    <t>Formulation du schéma directeur de la transformation digitale de tout le secteur de l'EFTP</t>
  </si>
  <si>
    <t>Accompagnement pour le Maintien du Système Management de Sécurité de l’Information (SMSI)</t>
  </si>
  <si>
    <t>Office des Œuvres Universitaires pour le Centre (OOUC)</t>
  </si>
  <si>
    <t>Mattel</t>
  </si>
  <si>
    <t>Infructueux</t>
  </si>
  <si>
    <t>SEEG Gabon</t>
  </si>
  <si>
    <t>Schéma Directeur des SI</t>
  </si>
  <si>
    <t>UNACOOPEC-CI</t>
  </si>
  <si>
    <t>AMOA mise en place E-services</t>
  </si>
  <si>
    <t>En attente du plan de charge</t>
  </si>
  <si>
    <t>Sélection d'un intégrateur pour un système de gestion documentaire</t>
  </si>
  <si>
    <t>Agence du Développement Economique Urbain</t>
  </si>
  <si>
    <t>GT Consulting</t>
  </si>
  <si>
    <t>Référencement Cyber</t>
  </si>
  <si>
    <t>Générale de Banque de Mauritanie</t>
  </si>
  <si>
    <t>Ministère des environnements</t>
  </si>
  <si>
    <t>Rwanda</t>
  </si>
  <si>
    <t>Smart Africa</t>
  </si>
  <si>
    <t>Douanes du Bénin</t>
  </si>
  <si>
    <t>Finetech</t>
  </si>
  <si>
    <t>Ministère de la Santé du Bénin</t>
  </si>
  <si>
    <t>Développement d’un modèle de gouvernance du Data center de l’ADETIC</t>
  </si>
  <si>
    <t>Recrutement d'un cabinet pour l'étude de faisabilité de la mise en place d'un système sécurisé, de sauvegarde et restauration, de gestion de l'ensemble du système d'information de l'INStaD</t>
  </si>
  <si>
    <t>Besoin : Data ( assainissement des données / BI ) et IA</t>
  </si>
  <si>
    <t>CEPEX</t>
  </si>
  <si>
    <t>Preparation du dossier de referencement CORIS Bank TOGO</t>
  </si>
  <si>
    <t>CORIS BANK</t>
  </si>
  <si>
    <t>IDVEY</t>
  </si>
  <si>
    <t>Politique de Sécurité et la cartographie des risques du Système d'Information</t>
  </si>
  <si>
    <t>CNSS</t>
  </si>
  <si>
    <t>Recrutement d'un cabinet de contrôle et coordination des activités d'installations des salles numériques dans les établissements secondaires</t>
  </si>
  <si>
    <t>AMOA SAP</t>
  </si>
  <si>
    <t>STEG</t>
  </si>
  <si>
    <t>BZ , Referencement AMOA</t>
  </si>
  <si>
    <t>Zitouna Banque</t>
  </si>
  <si>
    <t>Audit de sécurité du Système d'Information</t>
  </si>
  <si>
    <t>Attijari Bank</t>
  </si>
  <si>
    <t>Assistance montée de version d'Amplitude</t>
  </si>
  <si>
    <t>Recrutement d'un consultant pour la définition et la vulgarisation d'un cadre d'analyse des risques (objectif EBIOS)</t>
  </si>
  <si>
    <t>SDSI : INSTITUT NATIONAL DE LA JEUNESSE ET DES SPORTS</t>
  </si>
  <si>
    <t>INJS</t>
  </si>
  <si>
    <t>sélection d'un prestataire en vue d'accompagner la BCEAO dans la mise en place d’un plan de réponse aux incidents de cybersécurité</t>
  </si>
  <si>
    <t>Etude de faisabilité pour la migration vers le Cloud</t>
  </si>
  <si>
    <t>Hedal Consulting</t>
  </si>
  <si>
    <t>Accompagnement Conformité Instriction 21/2024</t>
  </si>
  <si>
    <t>Feuille de route ERP</t>
  </si>
  <si>
    <t>Data Governance</t>
  </si>
  <si>
    <t>BNA</t>
  </si>
  <si>
    <t>Sélection d’un consultant (cabinet) charge de la revue des processus internes actuels et identification des processus à digitaliser pour ameliorer l’efficacite de l’ANADEC</t>
  </si>
  <si>
    <t>Recrutement d'un consultant pour l'élaboration des outils de contrôle interne et de mitigation des risques (cartographie des risques, manuels de procédures, guides d'audit, etc.) au profit du Secrétariat Général du Ministère des Finances</t>
  </si>
  <si>
    <t>ITCEQ</t>
  </si>
  <si>
    <t>Mise en place d’un catalogue des services DSI</t>
  </si>
  <si>
    <t>Réalisation de formation certifiante au profit de vingt cinq (25) RSSI</t>
  </si>
  <si>
    <t>SOMELEC</t>
  </si>
  <si>
    <t>analyse du système applicatif et cartographie SI</t>
  </si>
  <si>
    <t>STB</t>
  </si>
  <si>
    <t>Mali</t>
  </si>
  <si>
    <t>Recrutement d'un consultant pour la cartographie des risques IT</t>
  </si>
  <si>
    <t>GIMTEL</t>
  </si>
  <si>
    <t>Lot 3 : Étude de cadrage et spécifications techniques pour la Plateforme Santé Infantile et Maternelle (PSIM)</t>
  </si>
  <si>
    <t>UNICEF</t>
  </si>
  <si>
    <t>Uses Cases IA</t>
  </si>
  <si>
    <t>Assistance à l'audit des systèmes d'information</t>
  </si>
  <si>
    <t>CDC Bénin</t>
  </si>
  <si>
    <t>Architecte Cloud &amp; Infrastructure GCP (H/F) OffShore</t>
  </si>
  <si>
    <t>Dvt FR</t>
  </si>
  <si>
    <t>Niger</t>
  </si>
  <si>
    <t>Banque Agricole du Niger</t>
  </si>
  <si>
    <t>Elaboration d’un schéma directeur du système d’information au profit de l’Agence du Développement Economique Urbain (ADEU)</t>
  </si>
  <si>
    <t>Elaboration du Schéma Directeur des Systèmes d'Information</t>
  </si>
  <si>
    <t>Agence de Développement de Sèmè City</t>
  </si>
  <si>
    <t>TunisRe</t>
  </si>
  <si>
    <t>Comores</t>
  </si>
  <si>
    <t>Banque Postale Comores</t>
  </si>
  <si>
    <t>SDSI</t>
  </si>
  <si>
    <t>Mise en place d'un Centre Opérationnel de Sécurité (SOC)</t>
  </si>
  <si>
    <t>SNCFT</t>
  </si>
  <si>
    <t>SDSI ( Refresh)</t>
  </si>
  <si>
    <t>Office du Commerce</t>
  </si>
  <si>
    <t>NO GO</t>
  </si>
  <si>
    <t>Tchad</t>
  </si>
  <si>
    <t>Etude pour la conception et l'installation d'un SI pour la centralisation et l'analyse des budgets et comptes des collectivités territoriales</t>
  </si>
  <si>
    <t>Projet d'Appui à la Decentralisation et au Développement des Villes</t>
  </si>
  <si>
    <t>Projet Monitoring des alertes</t>
  </si>
  <si>
    <t>Etude SIGE et Constitution du référentiel EFTP</t>
  </si>
  <si>
    <t>Etude stratégique pour la transformation digitale et plan opérationnel</t>
  </si>
  <si>
    <t>OMMP</t>
  </si>
  <si>
    <t>Elaboration d'une feuille de route pour l'intelligence artificielle</t>
  </si>
  <si>
    <t>Audit SI</t>
  </si>
  <si>
    <t>Customer Experience</t>
  </si>
  <si>
    <t>SMSI</t>
  </si>
  <si>
    <t>Recruitment of a Consultancy Firm or Consortium for the Development of Benin's National Data Strategy</t>
  </si>
  <si>
    <t>SONABEL</t>
  </si>
  <si>
    <t>Audit Organisationnel des Systèmes d'Information des Direction des Systèmes d'Informations des ministères et structures sous tutelle afin d'optimiser le support ASIN et augmenter l'autonomie du Ministère</t>
  </si>
  <si>
    <t>Elaboration d'un Diagnostic du SI</t>
  </si>
  <si>
    <t>Mauritania Airlines</t>
  </si>
  <si>
    <t>lot 1 : audit de la sécurité du système d’information de l’INT</t>
  </si>
  <si>
    <t>Mise en œuvre du PCA</t>
  </si>
  <si>
    <t>Ministère du tourisme</t>
  </si>
  <si>
    <t>Elaboration de la Politique de Sécurité du Système d'Inforation (PSSI) et Plan de Continuité d'Activité (PCA) de l'Institut Tunisien de la Compétitivité et des Etudes Quantitatives</t>
  </si>
  <si>
    <t>Gouvernance des données et systèmes d'information</t>
  </si>
  <si>
    <t>PCA : Analyse de l'existant + proposition d'amélioration</t>
  </si>
  <si>
    <t>Petro Ivoire</t>
  </si>
  <si>
    <t>Burundi</t>
  </si>
  <si>
    <t>Assistance technique pour le recrutement d’un Bureau spécialisé dans l’implémentation d’un système de Management de la Sécurité de l’Information (SMSI) à l’Office Burundais des Recettes (OBR)</t>
  </si>
  <si>
    <t>PAFEN</t>
  </si>
  <si>
    <t>Office National de l'Electricité du Mali</t>
  </si>
  <si>
    <t>Feuille de route Mansa Bank</t>
  </si>
  <si>
    <t>Mansa Bank</t>
  </si>
  <si>
    <t>Etude de qualification des serveurs et applications et renforcement des capacités pour la migration des systèmes d'informations vers le Data Center National</t>
  </si>
  <si>
    <t>Etudes préalables à l’implémentation des sous-projets et l’élaboration des termes de référence et des cahiers des charges pour la mise en œuvre de la composante « renforcement de la sécurité numérique</t>
  </si>
  <si>
    <t>Analyse des risques IT</t>
  </si>
  <si>
    <t>SODECI</t>
  </si>
  <si>
    <t>Port Autonome de Cotonou</t>
  </si>
  <si>
    <t>ITOPS OffShore</t>
  </si>
  <si>
    <t>Recrutrement d'un prestataire pour la finalisation de l'Implémentation du Système de Management de Sécurité de l'Information (SMSI) : ISO 27001</t>
  </si>
  <si>
    <t>Refonte PCA</t>
  </si>
  <si>
    <t>Support digital transformation of public services in Tunisia</t>
  </si>
  <si>
    <t>CRRH</t>
  </si>
  <si>
    <t>Etudes préalables à l’implémentation et l’élaboration des cahiers de charges pour la mise en œuvre du sous-projet « système d’information de gestion de l’enseignement supérieur (SIGES)</t>
  </si>
  <si>
    <t>Cellule référenceent et gestion des PF</t>
  </si>
  <si>
    <t>SBEE</t>
  </si>
  <si>
    <t>AMOA Cybersécurité</t>
  </si>
  <si>
    <t>AMOA , Cahier des charges application backoffice</t>
  </si>
  <si>
    <t>Mise en Place SIEM</t>
  </si>
  <si>
    <t>Paulina, Data Management</t>
  </si>
  <si>
    <t>Paulina</t>
  </si>
  <si>
    <t>Élaboration du document de politique de sécurité des systèmes d'informations de la SBIR</t>
  </si>
  <si>
    <t>Société Béninoise de Radio Diffusion</t>
  </si>
  <si>
    <t>Sélection d'un cabinet pour élaborer le plan stratégique de Sèmè City sur 5 ans</t>
  </si>
  <si>
    <t>Mise à jour de l offre SIRH</t>
  </si>
  <si>
    <t>Air Sénégal</t>
  </si>
  <si>
    <t>Recrutement d’un cabinet pour la coordination, le suivi et le contrôle des projets RBER phase 3 et Connectivité des structures sanitaires</t>
  </si>
  <si>
    <t>Elaboration de la politique de sécurisation des systèmes d'information (PSSI) du FNDA</t>
  </si>
  <si>
    <t>Fonds National de Développement Agricole</t>
  </si>
  <si>
    <t>SDSI + AMOA</t>
  </si>
  <si>
    <t>Cours des Comptes</t>
  </si>
  <si>
    <t>Tunisie Telecom</t>
  </si>
  <si>
    <t>Soutien à la transformation numérique des services publics en Tunisie</t>
  </si>
  <si>
    <t>Audit PCA</t>
  </si>
  <si>
    <t>Caisse Nationale de Sécurité Sociale du Gabon</t>
  </si>
  <si>
    <t>Lot 1 : Étude de cadrage et spécifications techniques pour l’extension du système CCSMIS</t>
  </si>
  <si>
    <t>Libéria</t>
  </si>
  <si>
    <t>Central Bank of liberia</t>
  </si>
  <si>
    <t>Ressource Régie Informatica</t>
  </si>
  <si>
    <t>Recruitment of a Consulting Firm to Support Data Governance Framework</t>
  </si>
  <si>
    <t>Lot 2 : Étude de cadrage et definition des spécifications techniques pour une plateforme de suivi des services Eau, Hygiène et Assainissement, Energie et bâtiments dans les centres de santé de base</t>
  </si>
  <si>
    <t>Élaboration de la PSSI</t>
  </si>
  <si>
    <t>AMOA Choix ERP pour les IMF Régionales</t>
  </si>
  <si>
    <t>Arabie Saoudite</t>
  </si>
  <si>
    <t>One ISO 9001 resource. One ressource AFQM</t>
  </si>
  <si>
    <t>Dvt KSA</t>
  </si>
  <si>
    <t>Audit Sécurité</t>
  </si>
  <si>
    <t>AMOA ERP</t>
  </si>
  <si>
    <t>ANCE</t>
  </si>
  <si>
    <t>Banque Zitouna</t>
  </si>
  <si>
    <t>Consultant Expert Capital Market</t>
  </si>
  <si>
    <t>Audit sauvegarde replication</t>
  </si>
  <si>
    <t>Etudes préalables à l’implémentation et l’élaboration des termes de référence et des cahiers de charges pour la mise en œuvre du sous-projet « digitalisation du conseil des ministres »</t>
  </si>
  <si>
    <t>Assistance à l'inspection des projets (Gouvernance, Dispositif de Contrôle Interne et Gestion des Risques)</t>
  </si>
  <si>
    <t>Guinée</t>
  </si>
  <si>
    <t>Etude de l Interconnexion entre la Douanes de Guinée et Guinée Bissau</t>
  </si>
  <si>
    <t>AGEROUTE</t>
  </si>
  <si>
    <t>Banque des Etats de l'Afrique Centrale (BEAC)</t>
  </si>
  <si>
    <t>Appui à la mise en place d'interfaces avec eQuittance et Tresorpay et Appui au développement complémentaire de modules et fonctionnalités de l'application guichet unique</t>
  </si>
  <si>
    <t>élaboration d'un schéma directeur informatique (SDI)</t>
  </si>
  <si>
    <t>Ecobank Togo</t>
  </si>
  <si>
    <t>lot 2 : élaboration d’un plan de continuité d’activité (PCA)</t>
  </si>
  <si>
    <t>Plan de Continuité d'Activité</t>
  </si>
  <si>
    <t>lot 3 : Mise en place d’une politique de sécurité du système d’information (PSSI)</t>
  </si>
  <si>
    <t>Actualisation &amp; Maintien du PCA (Horizon sur 03 ans)</t>
  </si>
  <si>
    <t>Mise en place du Plan de Reprise d'Activités</t>
  </si>
  <si>
    <t>Recrutement d'un prestataire pour la formation de vingt (20) Responsable de la Sécurité des Systèmes d'Information (RSSI) de l'administration</t>
  </si>
  <si>
    <t>Acquisition et mise en œuvre des actions de cyber sécurité pour la mise en conformité à la Politique de Sécurité des Systèmes d'Information de l'Etat (PSSIE) et la Politique de Protection des Infrastructures d'Information Critique (PPIC) dans le cadre du projet DEFISSOL (procédure reconduite)</t>
  </si>
  <si>
    <t>Ecole Nationale des Finances</t>
  </si>
  <si>
    <t>Recrutement d'un prestataire pour étude et mise en place d'un plan de développement et d'intégration des applications d'Etat</t>
  </si>
  <si>
    <t>Réalisation et publication d'une étude sur l'état des cyber-menaces au Bénin</t>
  </si>
  <si>
    <t>SONATEL</t>
  </si>
  <si>
    <t>Placement régie 2 ETP Data</t>
  </si>
  <si>
    <t>Sélection d'un cabinet ou d'un bureau d'études pour le renforcement de la structure organisationnelle et de gestion des ressources humaines</t>
  </si>
  <si>
    <t>Mairie de Cotonou</t>
  </si>
  <si>
    <t>Plan de Continuité Informatique et du Plan de Reprise Informatique</t>
  </si>
  <si>
    <t>Assistance Technique pour l'Elaboration d'un Cahier des Charges pour la conception d'un SI pédagogique intégré</t>
  </si>
  <si>
    <t>Elaboration SDSI</t>
  </si>
  <si>
    <t>STB, referencement</t>
  </si>
  <si>
    <t>RFI : InterBank payment and settlement system</t>
  </si>
  <si>
    <t>Société Sucrière du Cameroun</t>
  </si>
  <si>
    <t>Organisation DSI</t>
  </si>
  <si>
    <t>recrutrement d'un prestataire pour la finalisation de l'Implémentation du Système de Management de Sécurité de l'Information (SMSI) : ISO 27001</t>
  </si>
  <si>
    <t>2 profiles for DevSecOps Engineers</t>
  </si>
  <si>
    <t>Stratégie nationale de gouvernance des données</t>
  </si>
  <si>
    <t>Etude sur l'intéropérabilité des Systèmes SIGEL, KALHEL et MOUHASSIL</t>
  </si>
  <si>
    <t>Audit organisationnel de la DSI du Ministère de la Santé et structures sous tutelle</t>
  </si>
  <si>
    <t>Mise en Place d’une Solution de Business Intelligence (BI) et de Gestion des Données - CSIE</t>
  </si>
  <si>
    <t>Mise en place d’un tableau de bord de pilotage commercial</t>
  </si>
  <si>
    <t>BIAT</t>
  </si>
  <si>
    <t>Accompagnement à la transformation digitale des processus RH</t>
  </si>
  <si>
    <t>Audit de sécurité des systèmes d’information</t>
  </si>
  <si>
    <t>Mise en place d’un système de gestion de la relation client (CRM)</t>
  </si>
  <si>
    <t>Elaboration d’un schéma directeur informatique</t>
  </si>
  <si>
    <t>Audit organisationnel et cartographie des processus</t>
  </si>
  <si>
    <t>Déploiement d’une solution de Business Intelligence</t>
  </si>
  <si>
    <t>Etude de faisabilité pour la migration Cloud</t>
  </si>
  <si>
    <t>Accompagnement à la certification ISO 27001</t>
  </si>
  <si>
    <t>Talan</t>
  </si>
  <si>
    <t>Mise en place d’un entrepôt de données (Data Warehouse)</t>
  </si>
  <si>
    <t>Digitalisation du parcours client</t>
  </si>
  <si>
    <t>Assistance à maîtrise d’ouvrage pour un ERP</t>
  </si>
  <si>
    <t>Côte dIvoire</t>
  </si>
  <si>
    <t>Conception d’un tableau de bord de pilotage</t>
  </si>
  <si>
    <t>Mise en conformité RGPD</t>
  </si>
  <si>
    <t>Stratégie de transformation digitale</t>
  </si>
  <si>
    <t>Optimisation des processus achats</t>
  </si>
  <si>
    <t>Mise en place d’une gouvernance des données</t>
  </si>
  <si>
    <t>Assistance technique pour un projet de dématérialisation</t>
  </si>
  <si>
    <t>Audit du système d’information financier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</si>
</sst>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dd/mm/yyyy"/>
    <numFmt numFmtId="177" formatCode="hh:mm"/>
    <numFmt numFmtId="178" formatCode="#,##0&quot; €&quot;"/>
  </numFmts>
  <fonts count="23">
    <font>
      <sz val="11"/>
      <color theme="1"/>
      <name val="Calibri"/>
      <charset val="1"/>
    </font>
    <font>
      <b/>
      <sz val="11"/>
      <color rgb="FFFFFFFF"/>
      <name val="Calibri"/>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D9645F"/>
        <bgColor rgb="FFFF66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Border="0" applyAlignment="0" applyProtection="0"/>
    <xf numFmtId="44" fontId="2" fillId="0" borderId="0" applyBorder="0" applyAlignment="0" applyProtection="0"/>
    <xf numFmtId="9" fontId="2" fillId="0" borderId="0" applyBorder="0" applyAlignment="0" applyProtection="0"/>
    <xf numFmtId="41" fontId="2" fillId="0" borderId="0" applyBorder="0" applyAlignment="0" applyProtection="0"/>
    <xf numFmtId="42" fontId="2" fillId="0" borderId="0" applyBorder="0" applyAlignment="0" applyProtection="0"/>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0">
    <xf numFmtId="0" fontId="0" fillId="0" borderId="0" xfId="0"/>
    <xf numFmtId="0" fontId="0" fillId="0" borderId="0" xfId="0" applyAlignment="1"/>
    <xf numFmtId="0" fontId="1" fillId="2" borderId="1" xfId="0" applyFont="1" applyFill="1" applyBorder="1" applyAlignment="1">
      <alignment horizontal="center" vertical="center" wrapText="1"/>
    </xf>
    <xf numFmtId="0" fontId="0" fillId="0" borderId="1" xfId="0" applyFont="1" applyBorder="1" applyAlignment="1">
      <alignment horizontal="left" vertical="center"/>
    </xf>
    <xf numFmtId="176" fontId="0" fillId="0" borderId="1" xfId="0" applyNumberFormat="1" applyBorder="1" applyAlignment="1">
      <alignment horizontal="left" vertical="center"/>
    </xf>
    <xf numFmtId="177" fontId="0" fillId="0" borderId="1" xfId="0" applyNumberFormat="1" applyBorder="1" applyAlignment="1">
      <alignment horizontal="left" vertical="center"/>
    </xf>
    <xf numFmtId="0" fontId="0" fillId="0" borderId="1" xfId="0" applyBorder="1" applyAlignment="1">
      <alignment horizontal="center"/>
    </xf>
    <xf numFmtId="178" fontId="0" fillId="0" borderId="1" xfId="0" applyNumberFormat="1" applyBorder="1" applyAlignment="1">
      <alignment horizontal="right"/>
    </xf>
    <xf numFmtId="9" fontId="0" fillId="0" borderId="1" xfId="0" applyNumberFormat="1" applyBorder="1" applyAlignment="1">
      <alignment horizontal="center"/>
    </xf>
    <xf numFmtId="176" fontId="0" fillId="0" borderId="0" xfId="0" applyNumberFormat="1" applyAlignment="1"/>
  </cellXfs>
  <cellStyles count="49">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FCC"/>
      <rgbColor rgb="00CCFFFF"/>
      <rgbColor rgb="00660066"/>
      <rgbColor rgb="00D9645F"/>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361"/>
  <sheetViews>
    <sheetView tabSelected="1" workbookViewId="0">
      <pane ySplit="1" topLeftCell="A2" activePane="bottomLeft" state="frozen"/>
      <selection/>
      <selection pane="bottomLeft" activeCell="L144" sqref="L144"/>
    </sheetView>
  </sheetViews>
  <sheetFormatPr defaultColWidth="8.67592592592593" defaultRowHeight="14.4"/>
  <cols>
    <col min="1" max="1" width="16" style="1" customWidth="1"/>
    <col min="2" max="2" width="15" style="1" customWidth="1"/>
    <col min="3" max="4" width="13" style="1" customWidth="1"/>
    <col min="5" max="5" width="10" style="1" customWidth="1"/>
    <col min="6" max="6" width="18" style="1" customWidth="1"/>
    <col min="7" max="7" width="24.7777777777778" style="1" customWidth="1"/>
    <col min="8" max="8" width="32" style="1" customWidth="1"/>
    <col min="9" max="9" width="14" style="1" customWidth="1"/>
    <col min="10" max="10" width="20" style="1" customWidth="1"/>
    <col min="11" max="11" width="12" style="1" customWidth="1"/>
    <col min="12" max="12" width="14" style="1" customWidth="1"/>
    <col min="13" max="13" width="16" style="1" customWidth="1"/>
    <col min="14" max="14" width="14" style="1" customWidth="1"/>
    <col min="15" max="15" width="10" style="1" customWidth="1"/>
    <col min="16" max="16" width="14" style="1" customWidth="1"/>
    <col min="17" max="17" width="16.4444444444444" customWidth="1"/>
  </cols>
  <sheetData>
    <row r="1" ht="31.5" customHeight="1" spans="1:1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ht="14.25" hidden="1" customHeight="1" spans="1:17">
      <c r="A2" s="3" t="s">
        <v>17</v>
      </c>
      <c r="B2" s="4">
        <v>46333</v>
      </c>
      <c r="C2" s="4">
        <v>46385</v>
      </c>
      <c r="D2" s="5">
        <v>0.645833333333333</v>
      </c>
      <c r="E2" s="6">
        <f t="shared" ref="E2:E65" si="0">YEAR(C2)</f>
        <v>2026</v>
      </c>
      <c r="F2" s="6">
        <f ca="1" t="shared" ref="F2:F65" si="1">C2-TODAY()</f>
        <v>154</v>
      </c>
      <c r="G2" s="3" t="s">
        <v>18</v>
      </c>
      <c r="H2" s="3" t="s">
        <v>19</v>
      </c>
      <c r="I2" s="3" t="s">
        <v>20</v>
      </c>
      <c r="J2" s="3" t="s">
        <v>21</v>
      </c>
      <c r="K2" s="3" t="s">
        <v>22</v>
      </c>
      <c r="L2" s="7">
        <v>50000</v>
      </c>
      <c r="M2" s="3" t="s">
        <v>23</v>
      </c>
      <c r="N2" s="3" t="s">
        <v>24</v>
      </c>
      <c r="O2" s="7">
        <v>49600</v>
      </c>
      <c r="P2" s="8"/>
      <c r="Q2" s="7" t="str">
        <f t="shared" ref="Q2:Q65" si="2">IF(P2="","",O2*P2)</f>
        <v/>
      </c>
    </row>
    <row r="3" ht="14.25" customHeight="1" spans="1:17">
      <c r="A3" s="3" t="s">
        <v>25</v>
      </c>
      <c r="B3" s="4">
        <v>46306</v>
      </c>
      <c r="C3" s="4">
        <v>46382</v>
      </c>
      <c r="D3" s="5">
        <v>0.458333333333333</v>
      </c>
      <c r="E3" s="6">
        <f t="shared" si="0"/>
        <v>2026</v>
      </c>
      <c r="F3" s="6">
        <f ca="1" t="shared" si="1"/>
        <v>151</v>
      </c>
      <c r="G3" s="3" t="s">
        <v>26</v>
      </c>
      <c r="H3" s="3" t="s">
        <v>27</v>
      </c>
      <c r="I3" s="3" t="s">
        <v>28</v>
      </c>
      <c r="J3" s="3" t="s">
        <v>29</v>
      </c>
      <c r="K3" s="3" t="s">
        <v>30</v>
      </c>
      <c r="L3" s="7">
        <v>500000</v>
      </c>
      <c r="M3" s="3" t="s">
        <v>31</v>
      </c>
      <c r="N3" s="3" t="s">
        <v>32</v>
      </c>
      <c r="O3" s="7">
        <v>445400</v>
      </c>
      <c r="P3" s="8">
        <v>0.8</v>
      </c>
      <c r="Q3" s="7">
        <f t="shared" si="2"/>
        <v>356320</v>
      </c>
    </row>
    <row r="4" ht="14.25" hidden="1" customHeight="1" spans="1:17">
      <c r="A4" s="3" t="s">
        <v>25</v>
      </c>
      <c r="B4" s="4">
        <v>46201</v>
      </c>
      <c r="C4" s="4">
        <v>46379</v>
      </c>
      <c r="D4" s="5">
        <v>0.427083333333333</v>
      </c>
      <c r="E4" s="6">
        <f t="shared" si="0"/>
        <v>2026</v>
      </c>
      <c r="F4" s="6">
        <f ca="1" t="shared" si="1"/>
        <v>148</v>
      </c>
      <c r="G4" s="3" t="s">
        <v>18</v>
      </c>
      <c r="H4" s="3" t="s">
        <v>33</v>
      </c>
      <c r="I4" s="3" t="s">
        <v>34</v>
      </c>
      <c r="J4" s="3" t="s">
        <v>35</v>
      </c>
      <c r="K4" s="3" t="s">
        <v>36</v>
      </c>
      <c r="L4" s="7">
        <v>50000</v>
      </c>
      <c r="M4" s="3" t="s">
        <v>37</v>
      </c>
      <c r="N4" s="3" t="s">
        <v>24</v>
      </c>
      <c r="O4" s="7">
        <v>51600</v>
      </c>
      <c r="P4" s="8">
        <v>0.2</v>
      </c>
      <c r="Q4" s="7">
        <f t="shared" si="2"/>
        <v>10320</v>
      </c>
    </row>
    <row r="5" ht="14.25" hidden="1" customHeight="1" spans="1:17">
      <c r="A5" s="3" t="s">
        <v>17</v>
      </c>
      <c r="B5" s="4">
        <v>46224</v>
      </c>
      <c r="C5" s="4">
        <v>46376</v>
      </c>
      <c r="D5" s="5">
        <v>0.510416666666667</v>
      </c>
      <c r="E5" s="6">
        <f t="shared" si="0"/>
        <v>2026</v>
      </c>
      <c r="F5" s="6">
        <f ca="1" t="shared" si="1"/>
        <v>145</v>
      </c>
      <c r="G5" s="3" t="s">
        <v>38</v>
      </c>
      <c r="H5" s="3" t="s">
        <v>39</v>
      </c>
      <c r="I5" s="3" t="s">
        <v>40</v>
      </c>
      <c r="J5" s="3" t="s">
        <v>41</v>
      </c>
      <c r="K5" s="3" t="s">
        <v>22</v>
      </c>
      <c r="L5" s="7">
        <v>80000</v>
      </c>
      <c r="M5" s="3" t="s">
        <v>42</v>
      </c>
      <c r="N5" s="3" t="s">
        <v>24</v>
      </c>
      <c r="O5" s="7">
        <v>68200</v>
      </c>
      <c r="P5" s="8"/>
      <c r="Q5" s="7" t="str">
        <f t="shared" si="2"/>
        <v/>
      </c>
    </row>
    <row r="6" ht="14.25" hidden="1" customHeight="1" spans="1:17">
      <c r="A6" s="3" t="s">
        <v>43</v>
      </c>
      <c r="B6" s="4">
        <v>46247</v>
      </c>
      <c r="C6" s="4">
        <v>46373</v>
      </c>
      <c r="D6" s="5">
        <v>0.5</v>
      </c>
      <c r="E6" s="6">
        <f t="shared" si="0"/>
        <v>2026</v>
      </c>
      <c r="F6" s="6">
        <f ca="1" t="shared" si="1"/>
        <v>142</v>
      </c>
      <c r="G6" s="3" t="s">
        <v>18</v>
      </c>
      <c r="H6" s="3" t="s">
        <v>44</v>
      </c>
      <c r="I6" s="3" t="s">
        <v>45</v>
      </c>
      <c r="J6" s="3" t="s">
        <v>41</v>
      </c>
      <c r="K6" s="3" t="s">
        <v>46</v>
      </c>
      <c r="L6" s="7">
        <v>250000</v>
      </c>
      <c r="M6" s="3" t="s">
        <v>31</v>
      </c>
      <c r="N6" s="3" t="s">
        <v>47</v>
      </c>
      <c r="O6" s="7">
        <v>226600</v>
      </c>
      <c r="P6" s="8"/>
      <c r="Q6" s="7" t="str">
        <f t="shared" si="2"/>
        <v/>
      </c>
    </row>
    <row r="7" ht="14.25" customHeight="1" spans="1:17">
      <c r="A7" s="3" t="s">
        <v>48</v>
      </c>
      <c r="B7" s="4">
        <v>46252</v>
      </c>
      <c r="C7" s="4">
        <v>46369</v>
      </c>
      <c r="D7" s="5">
        <v>0.5</v>
      </c>
      <c r="E7" s="6">
        <f t="shared" si="0"/>
        <v>2026</v>
      </c>
      <c r="F7" s="6">
        <f ca="1" t="shared" si="1"/>
        <v>138</v>
      </c>
      <c r="G7" s="3" t="s">
        <v>38</v>
      </c>
      <c r="H7" s="3" t="s">
        <v>49</v>
      </c>
      <c r="I7" s="3" t="s">
        <v>50</v>
      </c>
      <c r="J7" s="3" t="s">
        <v>51</v>
      </c>
      <c r="K7" s="3" t="s">
        <v>52</v>
      </c>
      <c r="L7" s="7">
        <v>180000</v>
      </c>
      <c r="M7" s="3" t="s">
        <v>53</v>
      </c>
      <c r="N7" s="3" t="s">
        <v>24</v>
      </c>
      <c r="O7" s="7">
        <v>174300</v>
      </c>
      <c r="P7" s="8">
        <v>1</v>
      </c>
      <c r="Q7" s="7">
        <f t="shared" si="2"/>
        <v>174300</v>
      </c>
    </row>
    <row r="8" ht="14.25" hidden="1" customHeight="1" spans="1:17">
      <c r="A8" s="3" t="s">
        <v>54</v>
      </c>
      <c r="B8" s="4">
        <v>46245</v>
      </c>
      <c r="C8" s="4">
        <v>46367</v>
      </c>
      <c r="D8" s="5">
        <v>0.46875</v>
      </c>
      <c r="E8" s="6">
        <f t="shared" si="0"/>
        <v>2026</v>
      </c>
      <c r="F8" s="6">
        <f ca="1" t="shared" si="1"/>
        <v>136</v>
      </c>
      <c r="G8" s="3" t="s">
        <v>26</v>
      </c>
      <c r="H8" s="3" t="s">
        <v>27</v>
      </c>
      <c r="I8" s="3" t="s">
        <v>55</v>
      </c>
      <c r="J8" s="3" t="s">
        <v>51</v>
      </c>
      <c r="K8" s="3" t="s">
        <v>22</v>
      </c>
      <c r="L8" s="7">
        <v>750000</v>
      </c>
      <c r="M8" s="3" t="s">
        <v>56</v>
      </c>
      <c r="N8" s="3" t="s">
        <v>57</v>
      </c>
      <c r="O8" s="7">
        <v>784700</v>
      </c>
      <c r="P8" s="8"/>
      <c r="Q8" s="7" t="str">
        <f t="shared" si="2"/>
        <v/>
      </c>
    </row>
    <row r="9" ht="14.25" customHeight="1" spans="1:17">
      <c r="A9" s="3" t="s">
        <v>25</v>
      </c>
      <c r="B9" s="4">
        <v>46283</v>
      </c>
      <c r="C9" s="4">
        <v>46366</v>
      </c>
      <c r="D9" s="5">
        <v>0.447916666666667</v>
      </c>
      <c r="E9" s="6">
        <f t="shared" si="0"/>
        <v>2026</v>
      </c>
      <c r="F9" s="6">
        <f ca="1" t="shared" si="1"/>
        <v>135</v>
      </c>
      <c r="G9" s="3" t="s">
        <v>26</v>
      </c>
      <c r="H9" s="3" t="s">
        <v>58</v>
      </c>
      <c r="I9" s="3" t="s">
        <v>59</v>
      </c>
      <c r="J9" s="3" t="s">
        <v>51</v>
      </c>
      <c r="K9" s="3" t="s">
        <v>52</v>
      </c>
      <c r="L9" s="7">
        <v>1500000</v>
      </c>
      <c r="M9" s="3" t="s">
        <v>60</v>
      </c>
      <c r="N9" s="3" t="s">
        <v>32</v>
      </c>
      <c r="O9" s="7">
        <v>1401300</v>
      </c>
      <c r="P9" s="8">
        <v>1</v>
      </c>
      <c r="Q9" s="7">
        <f t="shared" si="2"/>
        <v>1401300</v>
      </c>
    </row>
    <row r="10" ht="14.25" customHeight="1" spans="1:17">
      <c r="A10" s="3" t="s">
        <v>17</v>
      </c>
      <c r="B10" s="4">
        <v>46250</v>
      </c>
      <c r="C10" s="4">
        <v>46363</v>
      </c>
      <c r="D10" s="5">
        <v>0.65625</v>
      </c>
      <c r="E10" s="6">
        <f t="shared" si="0"/>
        <v>2026</v>
      </c>
      <c r="F10" s="6">
        <f ca="1" t="shared" si="1"/>
        <v>132</v>
      </c>
      <c r="G10" s="3" t="s">
        <v>18</v>
      </c>
      <c r="H10" s="3" t="s">
        <v>61</v>
      </c>
      <c r="I10" s="3" t="s">
        <v>20</v>
      </c>
      <c r="J10" s="3" t="s">
        <v>41</v>
      </c>
      <c r="K10" s="3" t="s">
        <v>62</v>
      </c>
      <c r="L10" s="7">
        <v>250000</v>
      </c>
      <c r="M10" s="3" t="s">
        <v>53</v>
      </c>
      <c r="N10" s="3" t="s">
        <v>24</v>
      </c>
      <c r="O10" s="7">
        <v>231700</v>
      </c>
      <c r="P10" s="8">
        <v>1</v>
      </c>
      <c r="Q10" s="7">
        <f t="shared" si="2"/>
        <v>231700</v>
      </c>
    </row>
    <row r="11" ht="14.25" hidden="1" customHeight="1" spans="1:17">
      <c r="A11" s="3" t="s">
        <v>17</v>
      </c>
      <c r="B11" s="4">
        <v>46312</v>
      </c>
      <c r="C11" s="4">
        <v>46360</v>
      </c>
      <c r="D11" s="5">
        <v>0.614583333333333</v>
      </c>
      <c r="E11" s="6">
        <f t="shared" si="0"/>
        <v>2026</v>
      </c>
      <c r="F11" s="6">
        <f ca="1" t="shared" si="1"/>
        <v>129</v>
      </c>
      <c r="G11" s="3" t="s">
        <v>26</v>
      </c>
      <c r="H11" s="3" t="s">
        <v>63</v>
      </c>
      <c r="I11" s="3" t="s">
        <v>20</v>
      </c>
      <c r="J11" s="3" t="s">
        <v>21</v>
      </c>
      <c r="K11" s="3" t="s">
        <v>64</v>
      </c>
      <c r="L11" s="7">
        <v>250000</v>
      </c>
      <c r="M11" s="3" t="s">
        <v>23</v>
      </c>
      <c r="N11" s="3" t="s">
        <v>24</v>
      </c>
      <c r="O11" s="7">
        <v>250000</v>
      </c>
      <c r="P11" s="8">
        <v>0.4</v>
      </c>
      <c r="Q11" s="7">
        <f t="shared" si="2"/>
        <v>100000</v>
      </c>
    </row>
    <row r="12" ht="14.25" hidden="1" customHeight="1" spans="1:17">
      <c r="A12" s="3" t="s">
        <v>17</v>
      </c>
      <c r="B12" s="4">
        <v>46197</v>
      </c>
      <c r="C12" s="4">
        <v>46359</v>
      </c>
      <c r="D12" s="5">
        <v>0.447916666666667</v>
      </c>
      <c r="E12" s="6">
        <f t="shared" si="0"/>
        <v>2026</v>
      </c>
      <c r="F12" s="6">
        <f ca="1" t="shared" si="1"/>
        <v>128</v>
      </c>
      <c r="G12" s="3" t="s">
        <v>26</v>
      </c>
      <c r="H12" s="3" t="s">
        <v>65</v>
      </c>
      <c r="I12" s="3" t="s">
        <v>66</v>
      </c>
      <c r="J12" s="3" t="s">
        <v>21</v>
      </c>
      <c r="K12" s="3" t="s">
        <v>67</v>
      </c>
      <c r="L12" s="7">
        <v>350000</v>
      </c>
      <c r="M12" s="3" t="s">
        <v>68</v>
      </c>
      <c r="N12" s="3" t="s">
        <v>24</v>
      </c>
      <c r="O12" s="7">
        <v>317800</v>
      </c>
      <c r="P12" s="8"/>
      <c r="Q12" s="7" t="str">
        <f t="shared" si="2"/>
        <v/>
      </c>
    </row>
    <row r="13" ht="14.25" hidden="1" customHeight="1" spans="1:17">
      <c r="A13" s="3" t="s">
        <v>25</v>
      </c>
      <c r="B13" s="4">
        <v>46298</v>
      </c>
      <c r="C13" s="4">
        <v>46358</v>
      </c>
      <c r="D13" s="5">
        <v>0.625</v>
      </c>
      <c r="E13" s="6">
        <f t="shared" si="0"/>
        <v>2026</v>
      </c>
      <c r="F13" s="6">
        <f ca="1" t="shared" si="1"/>
        <v>127</v>
      </c>
      <c r="G13" s="3" t="s">
        <v>38</v>
      </c>
      <c r="H13" s="3" t="s">
        <v>69</v>
      </c>
      <c r="I13" s="3" t="s">
        <v>70</v>
      </c>
      <c r="J13" s="3" t="s">
        <v>41</v>
      </c>
      <c r="K13" s="3" t="s">
        <v>71</v>
      </c>
      <c r="L13" s="7">
        <v>180000</v>
      </c>
      <c r="M13" s="3" t="s">
        <v>31</v>
      </c>
      <c r="N13" s="3" t="s">
        <v>72</v>
      </c>
      <c r="O13" s="7">
        <v>182900</v>
      </c>
      <c r="P13" s="8">
        <v>0.2</v>
      </c>
      <c r="Q13" s="7">
        <f t="shared" si="2"/>
        <v>36580</v>
      </c>
    </row>
    <row r="14" ht="14.25" hidden="1" customHeight="1" spans="1:17">
      <c r="A14" s="3" t="s">
        <v>73</v>
      </c>
      <c r="B14" s="4">
        <v>46207</v>
      </c>
      <c r="C14" s="4">
        <v>46358</v>
      </c>
      <c r="D14" s="5">
        <v>0.5625</v>
      </c>
      <c r="E14" s="6">
        <f t="shared" si="0"/>
        <v>2026</v>
      </c>
      <c r="F14" s="6">
        <f ca="1" t="shared" si="1"/>
        <v>127</v>
      </c>
      <c r="G14" s="3" t="s">
        <v>26</v>
      </c>
      <c r="H14" s="3" t="s">
        <v>74</v>
      </c>
      <c r="I14" s="3" t="s">
        <v>75</v>
      </c>
      <c r="J14" s="3" t="s">
        <v>51</v>
      </c>
      <c r="K14" s="3" t="s">
        <v>76</v>
      </c>
      <c r="L14" s="7">
        <v>250000</v>
      </c>
      <c r="M14" s="3" t="s">
        <v>77</v>
      </c>
      <c r="N14" s="3" t="s">
        <v>78</v>
      </c>
      <c r="O14" s="7">
        <v>261600</v>
      </c>
      <c r="P14" s="8">
        <v>0.6</v>
      </c>
      <c r="Q14" s="7">
        <f t="shared" si="2"/>
        <v>156960</v>
      </c>
    </row>
    <row r="15" ht="14.25" hidden="1" customHeight="1" spans="1:17">
      <c r="A15" s="3" t="s">
        <v>79</v>
      </c>
      <c r="B15" s="4">
        <v>46332</v>
      </c>
      <c r="C15" s="4">
        <v>46357</v>
      </c>
      <c r="D15" s="5">
        <v>0.427083333333333</v>
      </c>
      <c r="E15" s="6">
        <f t="shared" si="0"/>
        <v>2026</v>
      </c>
      <c r="F15" s="6">
        <f ca="1" t="shared" si="1"/>
        <v>126</v>
      </c>
      <c r="G15" s="3" t="s">
        <v>26</v>
      </c>
      <c r="H15" s="3" t="s">
        <v>80</v>
      </c>
      <c r="I15" s="3" t="s">
        <v>81</v>
      </c>
      <c r="J15" s="3" t="s">
        <v>41</v>
      </c>
      <c r="K15" s="3" t="s">
        <v>22</v>
      </c>
      <c r="L15" s="7">
        <v>250000</v>
      </c>
      <c r="M15" s="3" t="s">
        <v>31</v>
      </c>
      <c r="N15" s="3" t="s">
        <v>24</v>
      </c>
      <c r="O15" s="7">
        <v>213500</v>
      </c>
      <c r="P15" s="8"/>
      <c r="Q15" s="7" t="str">
        <f t="shared" si="2"/>
        <v/>
      </c>
    </row>
    <row r="16" ht="14.25" customHeight="1" spans="1:17">
      <c r="A16" s="3" t="s">
        <v>48</v>
      </c>
      <c r="B16" s="4">
        <v>46261</v>
      </c>
      <c r="C16" s="4">
        <v>46354</v>
      </c>
      <c r="D16" s="5">
        <v>0.427083333333333</v>
      </c>
      <c r="E16" s="6">
        <f t="shared" si="0"/>
        <v>2026</v>
      </c>
      <c r="F16" s="6">
        <f ca="1" t="shared" si="1"/>
        <v>123</v>
      </c>
      <c r="G16" s="3" t="s">
        <v>18</v>
      </c>
      <c r="H16" s="3" t="s">
        <v>82</v>
      </c>
      <c r="I16" s="3" t="s">
        <v>50</v>
      </c>
      <c r="J16" s="3" t="s">
        <v>29</v>
      </c>
      <c r="K16" s="3" t="s">
        <v>62</v>
      </c>
      <c r="L16" s="7">
        <v>50000</v>
      </c>
      <c r="M16" s="3" t="s">
        <v>60</v>
      </c>
      <c r="N16" s="3" t="s">
        <v>24</v>
      </c>
      <c r="O16" s="7">
        <v>44200</v>
      </c>
      <c r="P16" s="8">
        <v>1</v>
      </c>
      <c r="Q16" s="7">
        <f t="shared" si="2"/>
        <v>44200</v>
      </c>
    </row>
    <row r="17" ht="14.25" hidden="1" customHeight="1" spans="1:17">
      <c r="A17" s="3" t="s">
        <v>73</v>
      </c>
      <c r="B17" s="4">
        <v>46302</v>
      </c>
      <c r="C17" s="4">
        <v>46353</v>
      </c>
      <c r="D17" s="5">
        <v>0.447916666666667</v>
      </c>
      <c r="E17" s="6">
        <f t="shared" si="0"/>
        <v>2026</v>
      </c>
      <c r="F17" s="6">
        <f ca="1" t="shared" si="1"/>
        <v>122</v>
      </c>
      <c r="G17" s="3" t="s">
        <v>26</v>
      </c>
      <c r="H17" s="3" t="s">
        <v>83</v>
      </c>
      <c r="I17" s="3" t="s">
        <v>84</v>
      </c>
      <c r="J17" s="3" t="s">
        <v>41</v>
      </c>
      <c r="K17" s="3" t="s">
        <v>64</v>
      </c>
      <c r="L17" s="7">
        <v>1000000</v>
      </c>
      <c r="M17" s="3" t="s">
        <v>77</v>
      </c>
      <c r="N17" s="3" t="s">
        <v>24</v>
      </c>
      <c r="O17" s="7">
        <v>979000</v>
      </c>
      <c r="P17" s="8">
        <v>0.4</v>
      </c>
      <c r="Q17" s="7">
        <f t="shared" si="2"/>
        <v>391600</v>
      </c>
    </row>
    <row r="18" ht="14.25" customHeight="1" spans="1:17">
      <c r="A18" s="3" t="s">
        <v>25</v>
      </c>
      <c r="B18" s="4">
        <v>46186</v>
      </c>
      <c r="C18" s="4">
        <v>46353</v>
      </c>
      <c r="D18" s="5">
        <v>0.489583333333333</v>
      </c>
      <c r="E18" s="6">
        <f t="shared" si="0"/>
        <v>2026</v>
      </c>
      <c r="F18" s="6">
        <f ca="1" t="shared" si="1"/>
        <v>122</v>
      </c>
      <c r="G18" s="3" t="s">
        <v>26</v>
      </c>
      <c r="H18" s="3" t="s">
        <v>58</v>
      </c>
      <c r="I18" s="3" t="s">
        <v>59</v>
      </c>
      <c r="J18" s="3" t="s">
        <v>21</v>
      </c>
      <c r="K18" s="3" t="s">
        <v>52</v>
      </c>
      <c r="L18" s="7">
        <v>1500000</v>
      </c>
      <c r="M18" s="3" t="s">
        <v>60</v>
      </c>
      <c r="N18" s="3" t="s">
        <v>32</v>
      </c>
      <c r="O18" s="7">
        <v>1340200</v>
      </c>
      <c r="P18" s="8">
        <v>1</v>
      </c>
      <c r="Q18" s="7">
        <f t="shared" si="2"/>
        <v>1340200</v>
      </c>
    </row>
    <row r="19" ht="14.25" hidden="1" customHeight="1" spans="1:17">
      <c r="A19" s="3" t="s">
        <v>85</v>
      </c>
      <c r="B19" s="4">
        <v>46176</v>
      </c>
      <c r="C19" s="4">
        <v>46351</v>
      </c>
      <c r="D19" s="5">
        <v>0.5</v>
      </c>
      <c r="E19" s="6">
        <f t="shared" si="0"/>
        <v>2026</v>
      </c>
      <c r="F19" s="6">
        <f ca="1" t="shared" si="1"/>
        <v>120</v>
      </c>
      <c r="G19" s="3" t="s">
        <v>18</v>
      </c>
      <c r="H19" s="3" t="s">
        <v>86</v>
      </c>
      <c r="I19" s="3" t="s">
        <v>87</v>
      </c>
      <c r="J19" s="3" t="s">
        <v>51</v>
      </c>
      <c r="K19" s="3" t="s">
        <v>64</v>
      </c>
      <c r="L19" s="7">
        <v>180000</v>
      </c>
      <c r="M19" s="3" t="s">
        <v>31</v>
      </c>
      <c r="N19" s="3" t="s">
        <v>24</v>
      </c>
      <c r="O19" s="7">
        <v>172000</v>
      </c>
      <c r="P19" s="8">
        <v>0.4</v>
      </c>
      <c r="Q19" s="7">
        <f t="shared" si="2"/>
        <v>68800</v>
      </c>
    </row>
    <row r="20" ht="14.25" customHeight="1" spans="1:17">
      <c r="A20" s="3" t="s">
        <v>17</v>
      </c>
      <c r="B20" s="4">
        <v>46245</v>
      </c>
      <c r="C20" s="4">
        <v>46350</v>
      </c>
      <c r="D20" s="5">
        <v>0.59375</v>
      </c>
      <c r="E20" s="6">
        <f t="shared" si="0"/>
        <v>2026</v>
      </c>
      <c r="F20" s="6">
        <f ca="1" t="shared" si="1"/>
        <v>119</v>
      </c>
      <c r="G20" s="3" t="s">
        <v>26</v>
      </c>
      <c r="H20" s="3" t="s">
        <v>83</v>
      </c>
      <c r="I20" s="3" t="s">
        <v>88</v>
      </c>
      <c r="J20" s="3" t="s">
        <v>29</v>
      </c>
      <c r="K20" s="3" t="s">
        <v>52</v>
      </c>
      <c r="L20" s="7">
        <v>350000</v>
      </c>
      <c r="M20" s="3" t="s">
        <v>68</v>
      </c>
      <c r="N20" s="3" t="s">
        <v>32</v>
      </c>
      <c r="O20" s="7">
        <v>356000</v>
      </c>
      <c r="P20" s="8">
        <v>1</v>
      </c>
      <c r="Q20" s="7">
        <f t="shared" si="2"/>
        <v>356000</v>
      </c>
    </row>
    <row r="21" ht="14.25" hidden="1" customHeight="1" spans="1:17">
      <c r="A21" s="3" t="s">
        <v>73</v>
      </c>
      <c r="B21" s="4">
        <v>46255</v>
      </c>
      <c r="C21" s="4">
        <v>46349</v>
      </c>
      <c r="D21" s="5">
        <v>0.635416666666667</v>
      </c>
      <c r="E21" s="6">
        <f t="shared" si="0"/>
        <v>2026</v>
      </c>
      <c r="F21" s="6">
        <f ca="1" t="shared" si="1"/>
        <v>118</v>
      </c>
      <c r="G21" s="3" t="s">
        <v>18</v>
      </c>
      <c r="H21" s="3" t="s">
        <v>89</v>
      </c>
      <c r="I21" s="3" t="s">
        <v>90</v>
      </c>
      <c r="J21" s="3" t="s">
        <v>21</v>
      </c>
      <c r="K21" s="3" t="s">
        <v>64</v>
      </c>
      <c r="L21" s="7">
        <v>350000</v>
      </c>
      <c r="M21" s="3" t="s">
        <v>31</v>
      </c>
      <c r="N21" s="3" t="s">
        <v>24</v>
      </c>
      <c r="O21" s="7">
        <v>347000</v>
      </c>
      <c r="P21" s="8">
        <v>0.4</v>
      </c>
      <c r="Q21" s="7">
        <f t="shared" si="2"/>
        <v>138800</v>
      </c>
    </row>
    <row r="22" ht="14.25" hidden="1" customHeight="1" spans="1:17">
      <c r="A22" s="3" t="s">
        <v>25</v>
      </c>
      <c r="B22" s="4">
        <v>46287</v>
      </c>
      <c r="C22" s="4">
        <v>46349</v>
      </c>
      <c r="D22" s="5">
        <v>0.427083333333333</v>
      </c>
      <c r="E22" s="6">
        <f t="shared" si="0"/>
        <v>2026</v>
      </c>
      <c r="F22" s="6">
        <f ca="1" t="shared" si="1"/>
        <v>118</v>
      </c>
      <c r="G22" s="3" t="s">
        <v>18</v>
      </c>
      <c r="H22" s="3" t="s">
        <v>91</v>
      </c>
      <c r="I22" s="3" t="s">
        <v>92</v>
      </c>
      <c r="J22" s="3" t="s">
        <v>51</v>
      </c>
      <c r="K22" s="3" t="s">
        <v>93</v>
      </c>
      <c r="L22" s="7">
        <v>80000</v>
      </c>
      <c r="M22" s="3" t="s">
        <v>31</v>
      </c>
      <c r="N22" s="3" t="s">
        <v>24</v>
      </c>
      <c r="O22" s="7">
        <v>82200</v>
      </c>
      <c r="P22" s="8"/>
      <c r="Q22" s="7" t="str">
        <f t="shared" si="2"/>
        <v/>
      </c>
    </row>
    <row r="23" ht="14.25" hidden="1" customHeight="1" spans="1:17">
      <c r="A23" s="3" t="s">
        <v>25</v>
      </c>
      <c r="B23" s="4">
        <v>46268</v>
      </c>
      <c r="C23" s="4">
        <v>46348</v>
      </c>
      <c r="D23" s="5">
        <v>0.614583333333333</v>
      </c>
      <c r="E23" s="6">
        <f t="shared" si="0"/>
        <v>2026</v>
      </c>
      <c r="F23" s="6">
        <f ca="1" t="shared" si="1"/>
        <v>117</v>
      </c>
      <c r="G23" s="3" t="s">
        <v>18</v>
      </c>
      <c r="H23" s="3" t="s">
        <v>94</v>
      </c>
      <c r="I23" s="3" t="s">
        <v>95</v>
      </c>
      <c r="J23" s="3" t="s">
        <v>41</v>
      </c>
      <c r="K23" s="3" t="s">
        <v>46</v>
      </c>
      <c r="L23" s="7">
        <v>250000</v>
      </c>
      <c r="M23" s="3" t="s">
        <v>31</v>
      </c>
      <c r="N23" s="3" t="s">
        <v>24</v>
      </c>
      <c r="O23" s="7">
        <v>226100</v>
      </c>
      <c r="P23" s="8"/>
      <c r="Q23" s="7" t="str">
        <f t="shared" si="2"/>
        <v/>
      </c>
    </row>
    <row r="24" ht="14.25" hidden="1" customHeight="1" spans="1:17">
      <c r="A24" s="3" t="s">
        <v>17</v>
      </c>
      <c r="B24" s="4">
        <v>46271</v>
      </c>
      <c r="C24" s="4">
        <v>46346</v>
      </c>
      <c r="D24" s="5">
        <v>0.489583333333333</v>
      </c>
      <c r="E24" s="6">
        <f t="shared" si="0"/>
        <v>2026</v>
      </c>
      <c r="F24" s="6">
        <f ca="1" t="shared" si="1"/>
        <v>115</v>
      </c>
      <c r="G24" s="3" t="s">
        <v>26</v>
      </c>
      <c r="H24" s="3" t="s">
        <v>96</v>
      </c>
      <c r="I24" s="3" t="s">
        <v>66</v>
      </c>
      <c r="J24" s="3" t="s">
        <v>21</v>
      </c>
      <c r="K24" s="3" t="s">
        <v>97</v>
      </c>
      <c r="L24" s="7">
        <v>500000</v>
      </c>
      <c r="M24" s="3" t="s">
        <v>37</v>
      </c>
      <c r="N24" s="3" t="s">
        <v>24</v>
      </c>
      <c r="O24" s="7">
        <v>448800</v>
      </c>
      <c r="P24" s="8"/>
      <c r="Q24" s="7" t="str">
        <f t="shared" si="2"/>
        <v/>
      </c>
    </row>
    <row r="25" ht="14.25" hidden="1" customHeight="1" spans="1:17">
      <c r="A25" s="3" t="s">
        <v>25</v>
      </c>
      <c r="B25" s="4">
        <v>46179</v>
      </c>
      <c r="C25" s="4">
        <v>46344</v>
      </c>
      <c r="D25" s="5">
        <v>0.645833333333333</v>
      </c>
      <c r="E25" s="6">
        <f t="shared" si="0"/>
        <v>2026</v>
      </c>
      <c r="F25" s="6">
        <f ca="1" t="shared" si="1"/>
        <v>113</v>
      </c>
      <c r="G25" s="3" t="s">
        <v>26</v>
      </c>
      <c r="H25" s="3" t="s">
        <v>27</v>
      </c>
      <c r="I25" s="3" t="s">
        <v>28</v>
      </c>
      <c r="J25" s="3" t="s">
        <v>51</v>
      </c>
      <c r="K25" s="3" t="s">
        <v>98</v>
      </c>
      <c r="L25" s="7">
        <v>120000</v>
      </c>
      <c r="M25" s="3" t="s">
        <v>31</v>
      </c>
      <c r="N25" s="3" t="s">
        <v>24</v>
      </c>
      <c r="O25" s="7">
        <v>115000</v>
      </c>
      <c r="P25" s="8">
        <v>0.4</v>
      </c>
      <c r="Q25" s="7">
        <f t="shared" si="2"/>
        <v>46000</v>
      </c>
    </row>
    <row r="26" ht="14.25" hidden="1" customHeight="1" spans="1:17">
      <c r="A26" s="3" t="s">
        <v>25</v>
      </c>
      <c r="B26" s="4">
        <v>46241</v>
      </c>
      <c r="C26" s="4">
        <v>46343</v>
      </c>
      <c r="D26" s="5">
        <v>0.666666666666667</v>
      </c>
      <c r="E26" s="6">
        <f t="shared" si="0"/>
        <v>2026</v>
      </c>
      <c r="F26" s="6">
        <f ca="1" t="shared" si="1"/>
        <v>112</v>
      </c>
      <c r="G26" s="3" t="s">
        <v>38</v>
      </c>
      <c r="H26" s="3" t="s">
        <v>99</v>
      </c>
      <c r="I26" s="3" t="s">
        <v>100</v>
      </c>
      <c r="J26" s="3" t="s">
        <v>41</v>
      </c>
      <c r="K26" s="3" t="s">
        <v>76</v>
      </c>
      <c r="L26" s="7">
        <v>350000</v>
      </c>
      <c r="M26" s="3" t="s">
        <v>101</v>
      </c>
      <c r="N26" s="3" t="s">
        <v>24</v>
      </c>
      <c r="O26" s="7">
        <v>321600</v>
      </c>
      <c r="P26" s="8">
        <v>0.6</v>
      </c>
      <c r="Q26" s="7">
        <f t="shared" si="2"/>
        <v>192960</v>
      </c>
    </row>
    <row r="27" ht="14.25" hidden="1" customHeight="1" spans="1:17">
      <c r="A27" s="3" t="s">
        <v>17</v>
      </c>
      <c r="B27" s="4">
        <v>46304</v>
      </c>
      <c r="C27" s="4">
        <v>46341</v>
      </c>
      <c r="D27" s="5">
        <v>0.614583333333333</v>
      </c>
      <c r="E27" s="6">
        <f t="shared" si="0"/>
        <v>2026</v>
      </c>
      <c r="F27" s="6">
        <f ca="1" t="shared" si="1"/>
        <v>110</v>
      </c>
      <c r="G27" s="3" t="s">
        <v>26</v>
      </c>
      <c r="H27" s="3" t="s">
        <v>96</v>
      </c>
      <c r="I27" s="3" t="s">
        <v>66</v>
      </c>
      <c r="J27" s="3" t="s">
        <v>51</v>
      </c>
      <c r="K27" s="3" t="s">
        <v>102</v>
      </c>
      <c r="L27" s="7">
        <v>500000</v>
      </c>
      <c r="M27" s="3" t="s">
        <v>37</v>
      </c>
      <c r="N27" s="3" t="s">
        <v>24</v>
      </c>
      <c r="O27" s="7">
        <v>445800</v>
      </c>
      <c r="P27" s="8">
        <v>0.6</v>
      </c>
      <c r="Q27" s="7">
        <f t="shared" si="2"/>
        <v>267480</v>
      </c>
    </row>
    <row r="28" ht="14.25" hidden="1" customHeight="1" spans="1:17">
      <c r="A28" s="3" t="s">
        <v>73</v>
      </c>
      <c r="B28" s="4">
        <v>46186</v>
      </c>
      <c r="C28" s="4">
        <v>46341</v>
      </c>
      <c r="D28" s="5">
        <v>0.5625</v>
      </c>
      <c r="E28" s="6">
        <f t="shared" si="0"/>
        <v>2026</v>
      </c>
      <c r="F28" s="6">
        <f ca="1" t="shared" si="1"/>
        <v>110</v>
      </c>
      <c r="G28" s="3" t="s">
        <v>18</v>
      </c>
      <c r="H28" s="3" t="s">
        <v>103</v>
      </c>
      <c r="I28" s="3" t="s">
        <v>75</v>
      </c>
      <c r="J28" s="3" t="s">
        <v>29</v>
      </c>
      <c r="K28" s="3" t="s">
        <v>22</v>
      </c>
      <c r="L28" s="7">
        <v>250000</v>
      </c>
      <c r="M28" s="3" t="s">
        <v>104</v>
      </c>
      <c r="N28" s="3" t="s">
        <v>105</v>
      </c>
      <c r="O28" s="7">
        <v>238400</v>
      </c>
      <c r="P28" s="8"/>
      <c r="Q28" s="7" t="str">
        <f t="shared" si="2"/>
        <v/>
      </c>
    </row>
    <row r="29" ht="14.25" hidden="1" customHeight="1" spans="1:17">
      <c r="A29" s="3" t="s">
        <v>17</v>
      </c>
      <c r="B29" s="4">
        <v>46249</v>
      </c>
      <c r="C29" s="4">
        <v>46341</v>
      </c>
      <c r="D29" s="5">
        <v>0.489583333333333</v>
      </c>
      <c r="E29" s="6">
        <f t="shared" si="0"/>
        <v>2026</v>
      </c>
      <c r="F29" s="6">
        <f ca="1" t="shared" si="1"/>
        <v>110</v>
      </c>
      <c r="G29" s="3" t="s">
        <v>18</v>
      </c>
      <c r="H29" s="3" t="s">
        <v>106</v>
      </c>
      <c r="I29" s="3" t="s">
        <v>107</v>
      </c>
      <c r="J29" s="3" t="s">
        <v>51</v>
      </c>
      <c r="K29" s="3" t="s">
        <v>64</v>
      </c>
      <c r="L29" s="7">
        <v>50000</v>
      </c>
      <c r="M29" s="3" t="s">
        <v>68</v>
      </c>
      <c r="N29" s="3" t="s">
        <v>24</v>
      </c>
      <c r="O29" s="7">
        <v>51700</v>
      </c>
      <c r="P29" s="8">
        <v>0.4</v>
      </c>
      <c r="Q29" s="7">
        <f t="shared" si="2"/>
        <v>20680</v>
      </c>
    </row>
    <row r="30" ht="14.25" hidden="1" customHeight="1" spans="1:17">
      <c r="A30" s="3" t="s">
        <v>25</v>
      </c>
      <c r="B30" s="4">
        <v>46288</v>
      </c>
      <c r="C30" s="4">
        <v>46336</v>
      </c>
      <c r="D30" s="5">
        <v>0.572916666666667</v>
      </c>
      <c r="E30" s="6">
        <f t="shared" si="0"/>
        <v>2026</v>
      </c>
      <c r="F30" s="6">
        <f ca="1" t="shared" si="1"/>
        <v>105</v>
      </c>
      <c r="G30" s="3" t="s">
        <v>38</v>
      </c>
      <c r="H30" s="3" t="s">
        <v>99</v>
      </c>
      <c r="I30" s="3" t="s">
        <v>108</v>
      </c>
      <c r="J30" s="3" t="s">
        <v>109</v>
      </c>
      <c r="K30" s="3" t="s">
        <v>67</v>
      </c>
      <c r="L30" s="7">
        <v>50000</v>
      </c>
      <c r="M30" s="3" t="s">
        <v>23</v>
      </c>
      <c r="N30" s="3" t="s">
        <v>24</v>
      </c>
      <c r="O30" s="7">
        <v>47500</v>
      </c>
      <c r="P30" s="8"/>
      <c r="Q30" s="7" t="str">
        <f t="shared" si="2"/>
        <v/>
      </c>
    </row>
    <row r="31" ht="14.25" hidden="1" customHeight="1" spans="1:17">
      <c r="A31" s="3" t="s">
        <v>25</v>
      </c>
      <c r="B31" s="4">
        <v>46297</v>
      </c>
      <c r="C31" s="4">
        <v>46335</v>
      </c>
      <c r="D31" s="5">
        <v>0.625</v>
      </c>
      <c r="E31" s="6">
        <f t="shared" si="0"/>
        <v>2026</v>
      </c>
      <c r="F31" s="6">
        <f ca="1" t="shared" si="1"/>
        <v>104</v>
      </c>
      <c r="G31" s="3" t="s">
        <v>18</v>
      </c>
      <c r="H31" s="3" t="s">
        <v>110</v>
      </c>
      <c r="I31" s="3" t="s">
        <v>92</v>
      </c>
      <c r="J31" s="3" t="s">
        <v>21</v>
      </c>
      <c r="K31" s="3" t="s">
        <v>67</v>
      </c>
      <c r="L31" s="7">
        <v>750000</v>
      </c>
      <c r="M31" s="3" t="s">
        <v>31</v>
      </c>
      <c r="N31" s="3" t="s">
        <v>24</v>
      </c>
      <c r="O31" s="7">
        <v>693600</v>
      </c>
      <c r="P31" s="8"/>
      <c r="Q31" s="7" t="str">
        <f t="shared" si="2"/>
        <v/>
      </c>
    </row>
    <row r="32" ht="14.25" hidden="1" customHeight="1" spans="1:17">
      <c r="A32" s="3" t="s">
        <v>25</v>
      </c>
      <c r="B32" s="4">
        <v>46262</v>
      </c>
      <c r="C32" s="4">
        <v>46334</v>
      </c>
      <c r="D32" s="5">
        <v>0.510416666666667</v>
      </c>
      <c r="E32" s="6">
        <f t="shared" si="0"/>
        <v>2026</v>
      </c>
      <c r="F32" s="6">
        <f ca="1" t="shared" si="1"/>
        <v>103</v>
      </c>
      <c r="G32" s="3" t="s">
        <v>26</v>
      </c>
      <c r="H32" s="3" t="s">
        <v>111</v>
      </c>
      <c r="I32" s="3" t="s">
        <v>112</v>
      </c>
      <c r="J32" s="3" t="s">
        <v>113</v>
      </c>
      <c r="K32" s="3" t="s">
        <v>22</v>
      </c>
      <c r="L32" s="7">
        <v>1000000</v>
      </c>
      <c r="M32" s="3" t="s">
        <v>31</v>
      </c>
      <c r="N32" s="3" t="s">
        <v>24</v>
      </c>
      <c r="O32" s="7">
        <v>961100</v>
      </c>
      <c r="P32" s="8"/>
      <c r="Q32" s="7" t="str">
        <f t="shared" si="2"/>
        <v/>
      </c>
    </row>
    <row r="33" ht="14.25" hidden="1" customHeight="1" spans="1:17">
      <c r="A33" s="3" t="s">
        <v>25</v>
      </c>
      <c r="B33" s="4">
        <v>46242</v>
      </c>
      <c r="C33" s="4">
        <v>46330</v>
      </c>
      <c r="D33" s="5">
        <v>0.416666666666667</v>
      </c>
      <c r="E33" s="6">
        <f t="shared" si="0"/>
        <v>2026</v>
      </c>
      <c r="F33" s="6">
        <f ca="1" t="shared" si="1"/>
        <v>99</v>
      </c>
      <c r="G33" s="3" t="s">
        <v>38</v>
      </c>
      <c r="H33" s="3" t="s">
        <v>39</v>
      </c>
      <c r="I33" s="3" t="s">
        <v>112</v>
      </c>
      <c r="J33" s="3" t="s">
        <v>51</v>
      </c>
      <c r="K33" s="3" t="s">
        <v>76</v>
      </c>
      <c r="L33" s="7">
        <v>1000000</v>
      </c>
      <c r="M33" s="3" t="s">
        <v>42</v>
      </c>
      <c r="N33" s="3" t="s">
        <v>72</v>
      </c>
      <c r="O33" s="7">
        <v>1039900</v>
      </c>
      <c r="P33" s="8">
        <v>0.6</v>
      </c>
      <c r="Q33" s="7">
        <f t="shared" si="2"/>
        <v>623940</v>
      </c>
    </row>
    <row r="34" ht="14.25" hidden="1" customHeight="1" spans="1:17">
      <c r="A34" s="3" t="s">
        <v>17</v>
      </c>
      <c r="B34" s="4">
        <v>46238</v>
      </c>
      <c r="C34" s="4">
        <v>46326</v>
      </c>
      <c r="D34" s="5">
        <v>0.46875</v>
      </c>
      <c r="E34" s="6">
        <f t="shared" si="0"/>
        <v>2026</v>
      </c>
      <c r="F34" s="6">
        <f ca="1" t="shared" si="1"/>
        <v>95</v>
      </c>
      <c r="G34" s="3" t="s">
        <v>18</v>
      </c>
      <c r="H34" s="3" t="s">
        <v>114</v>
      </c>
      <c r="I34" s="3" t="s">
        <v>115</v>
      </c>
      <c r="J34" s="3" t="s">
        <v>41</v>
      </c>
      <c r="K34" s="3" t="s">
        <v>67</v>
      </c>
      <c r="L34" s="7">
        <v>500000</v>
      </c>
      <c r="M34" s="3" t="s">
        <v>31</v>
      </c>
      <c r="N34" s="3" t="s">
        <v>24</v>
      </c>
      <c r="O34" s="7">
        <v>468200</v>
      </c>
      <c r="P34" s="8"/>
      <c r="Q34" s="7" t="str">
        <f t="shared" si="2"/>
        <v/>
      </c>
    </row>
    <row r="35" ht="14.25" hidden="1" customHeight="1" spans="1:17">
      <c r="A35" s="3" t="s">
        <v>25</v>
      </c>
      <c r="B35" s="4">
        <v>46271</v>
      </c>
      <c r="C35" s="4">
        <v>46326</v>
      </c>
      <c r="D35" s="5">
        <v>0.666666666666667</v>
      </c>
      <c r="E35" s="6">
        <f t="shared" si="0"/>
        <v>2026</v>
      </c>
      <c r="F35" s="6">
        <f ca="1" t="shared" si="1"/>
        <v>95</v>
      </c>
      <c r="G35" s="3" t="s">
        <v>18</v>
      </c>
      <c r="H35" s="3" t="s">
        <v>116</v>
      </c>
      <c r="I35" s="3" t="s">
        <v>92</v>
      </c>
      <c r="J35" s="3" t="s">
        <v>51</v>
      </c>
      <c r="K35" s="3" t="s">
        <v>71</v>
      </c>
      <c r="L35" s="7">
        <v>50000</v>
      </c>
      <c r="M35" s="3" t="s">
        <v>31</v>
      </c>
      <c r="N35" s="3" t="s">
        <v>24</v>
      </c>
      <c r="O35" s="7">
        <v>45000</v>
      </c>
      <c r="P35" s="8">
        <v>0.2</v>
      </c>
      <c r="Q35" s="7">
        <f t="shared" si="2"/>
        <v>9000</v>
      </c>
    </row>
    <row r="36" ht="14.25" hidden="1" customHeight="1" spans="1:17">
      <c r="A36" s="3" t="s">
        <v>73</v>
      </c>
      <c r="B36" s="4">
        <v>46280</v>
      </c>
      <c r="C36" s="4">
        <v>46326</v>
      </c>
      <c r="D36" s="5">
        <v>0.5625</v>
      </c>
      <c r="E36" s="6">
        <f t="shared" si="0"/>
        <v>2026</v>
      </c>
      <c r="F36" s="6">
        <f ca="1" t="shared" si="1"/>
        <v>95</v>
      </c>
      <c r="G36" s="3" t="s">
        <v>26</v>
      </c>
      <c r="H36" s="3" t="s">
        <v>74</v>
      </c>
      <c r="I36" s="3" t="s">
        <v>75</v>
      </c>
      <c r="J36" s="3" t="s">
        <v>21</v>
      </c>
      <c r="K36" s="3" t="s">
        <v>97</v>
      </c>
      <c r="L36" s="7">
        <v>250000</v>
      </c>
      <c r="M36" s="3" t="s">
        <v>77</v>
      </c>
      <c r="N36" s="3" t="s">
        <v>78</v>
      </c>
      <c r="O36" s="7">
        <v>219400</v>
      </c>
      <c r="P36" s="8"/>
      <c r="Q36" s="7" t="str">
        <f t="shared" si="2"/>
        <v/>
      </c>
    </row>
    <row r="37" ht="14.25" customHeight="1" spans="1:17">
      <c r="A37" s="3" t="s">
        <v>17</v>
      </c>
      <c r="B37" s="4">
        <v>46225</v>
      </c>
      <c r="C37" s="4">
        <v>46323</v>
      </c>
      <c r="D37" s="5">
        <v>0.541666666666667</v>
      </c>
      <c r="E37" s="6">
        <f t="shared" si="0"/>
        <v>2026</v>
      </c>
      <c r="F37" s="6">
        <f ca="1" t="shared" si="1"/>
        <v>92</v>
      </c>
      <c r="G37" s="3" t="s">
        <v>18</v>
      </c>
      <c r="H37" s="3" t="s">
        <v>117</v>
      </c>
      <c r="I37" s="3" t="s">
        <v>118</v>
      </c>
      <c r="J37" s="3" t="s">
        <v>29</v>
      </c>
      <c r="K37" s="3" t="s">
        <v>52</v>
      </c>
      <c r="L37" s="7">
        <v>250000</v>
      </c>
      <c r="M37" s="3" t="s">
        <v>37</v>
      </c>
      <c r="N37" s="3" t="s">
        <v>24</v>
      </c>
      <c r="O37" s="7">
        <v>224400</v>
      </c>
      <c r="P37" s="8">
        <v>1</v>
      </c>
      <c r="Q37" s="7">
        <f t="shared" si="2"/>
        <v>224400</v>
      </c>
    </row>
    <row r="38" ht="14.25" hidden="1" customHeight="1" spans="1:17">
      <c r="A38" s="3" t="s">
        <v>25</v>
      </c>
      <c r="B38" s="4">
        <v>46182</v>
      </c>
      <c r="C38" s="4">
        <v>46323</v>
      </c>
      <c r="D38" s="5">
        <v>0.510416666666667</v>
      </c>
      <c r="E38" s="6">
        <f t="shared" si="0"/>
        <v>2026</v>
      </c>
      <c r="F38" s="6">
        <f ca="1" t="shared" si="1"/>
        <v>92</v>
      </c>
      <c r="G38" s="3" t="s">
        <v>26</v>
      </c>
      <c r="H38" s="3" t="s">
        <v>119</v>
      </c>
      <c r="I38" s="3" t="s">
        <v>120</v>
      </c>
      <c r="J38" s="3" t="s">
        <v>21</v>
      </c>
      <c r="K38" s="3" t="s">
        <v>71</v>
      </c>
      <c r="L38" s="7">
        <v>500000</v>
      </c>
      <c r="M38" s="3" t="s">
        <v>31</v>
      </c>
      <c r="N38" s="3" t="s">
        <v>24</v>
      </c>
      <c r="O38" s="7">
        <v>485100</v>
      </c>
      <c r="P38" s="8">
        <v>0.2</v>
      </c>
      <c r="Q38" s="7">
        <f t="shared" si="2"/>
        <v>97020</v>
      </c>
    </row>
    <row r="39" ht="14.25" hidden="1" customHeight="1" spans="1:17">
      <c r="A39" s="3" t="s">
        <v>17</v>
      </c>
      <c r="B39" s="4">
        <v>46166</v>
      </c>
      <c r="C39" s="4">
        <v>46322</v>
      </c>
      <c r="D39" s="5">
        <v>0.46875</v>
      </c>
      <c r="E39" s="6">
        <f t="shared" si="0"/>
        <v>2026</v>
      </c>
      <c r="F39" s="6">
        <f ca="1" t="shared" si="1"/>
        <v>91</v>
      </c>
      <c r="G39" s="3" t="s">
        <v>26</v>
      </c>
      <c r="H39" s="3" t="s">
        <v>121</v>
      </c>
      <c r="I39" s="3" t="s">
        <v>122</v>
      </c>
      <c r="J39" s="3" t="s">
        <v>29</v>
      </c>
      <c r="K39" s="3" t="s">
        <v>22</v>
      </c>
      <c r="L39" s="7">
        <v>350000</v>
      </c>
      <c r="M39" s="3" t="s">
        <v>104</v>
      </c>
      <c r="N39" s="3" t="s">
        <v>24</v>
      </c>
      <c r="O39" s="7">
        <v>348700</v>
      </c>
      <c r="P39" s="8"/>
      <c r="Q39" s="7" t="str">
        <f t="shared" si="2"/>
        <v/>
      </c>
    </row>
    <row r="40" ht="14.25" hidden="1" customHeight="1" spans="1:17">
      <c r="A40" s="3" t="s">
        <v>25</v>
      </c>
      <c r="B40" s="4">
        <v>46159</v>
      </c>
      <c r="C40" s="4">
        <v>46318</v>
      </c>
      <c r="D40" s="5">
        <v>0.489583333333333</v>
      </c>
      <c r="E40" s="6">
        <f t="shared" si="0"/>
        <v>2026</v>
      </c>
      <c r="F40" s="6">
        <f ca="1" t="shared" si="1"/>
        <v>87</v>
      </c>
      <c r="G40" s="3" t="s">
        <v>26</v>
      </c>
      <c r="H40" s="3" t="s">
        <v>123</v>
      </c>
      <c r="I40" s="3" t="s">
        <v>95</v>
      </c>
      <c r="J40" s="3" t="s">
        <v>21</v>
      </c>
      <c r="K40" s="3" t="s">
        <v>22</v>
      </c>
      <c r="L40" s="7">
        <v>120000</v>
      </c>
      <c r="M40" s="3" t="s">
        <v>31</v>
      </c>
      <c r="N40" s="3" t="s">
        <v>124</v>
      </c>
      <c r="O40" s="7">
        <v>115100</v>
      </c>
      <c r="P40" s="8"/>
      <c r="Q40" s="7" t="str">
        <f t="shared" si="2"/>
        <v/>
      </c>
    </row>
    <row r="41" ht="14.25" hidden="1" customHeight="1" spans="1:17">
      <c r="A41" s="3" t="s">
        <v>125</v>
      </c>
      <c r="B41" s="4">
        <v>46213</v>
      </c>
      <c r="C41" s="4">
        <v>46317</v>
      </c>
      <c r="D41" s="5">
        <v>0.53125</v>
      </c>
      <c r="E41" s="6">
        <f t="shared" si="0"/>
        <v>2026</v>
      </c>
      <c r="F41" s="6">
        <f ca="1" t="shared" si="1"/>
        <v>86</v>
      </c>
      <c r="G41" s="3" t="s">
        <v>18</v>
      </c>
      <c r="H41" s="3" t="s">
        <v>126</v>
      </c>
      <c r="I41" s="3" t="s">
        <v>127</v>
      </c>
      <c r="J41" s="3" t="s">
        <v>51</v>
      </c>
      <c r="K41" s="3" t="s">
        <v>76</v>
      </c>
      <c r="L41" s="7">
        <v>350000</v>
      </c>
      <c r="M41" s="3" t="s">
        <v>31</v>
      </c>
      <c r="N41" s="3" t="s">
        <v>24</v>
      </c>
      <c r="O41" s="7">
        <v>343800</v>
      </c>
      <c r="P41" s="8">
        <v>0.6</v>
      </c>
      <c r="Q41" s="7">
        <f t="shared" si="2"/>
        <v>206280</v>
      </c>
    </row>
    <row r="42" ht="14.25" hidden="1" customHeight="1" spans="1:17">
      <c r="A42" s="3" t="s">
        <v>54</v>
      </c>
      <c r="B42" s="4">
        <v>46202</v>
      </c>
      <c r="C42" s="4">
        <v>46316</v>
      </c>
      <c r="D42" s="5">
        <v>0.447916666666667</v>
      </c>
      <c r="E42" s="6">
        <f t="shared" si="0"/>
        <v>2026</v>
      </c>
      <c r="F42" s="6">
        <f ca="1" t="shared" si="1"/>
        <v>85</v>
      </c>
      <c r="G42" s="3" t="s">
        <v>26</v>
      </c>
      <c r="H42" s="3" t="s">
        <v>83</v>
      </c>
      <c r="I42" s="3" t="s">
        <v>55</v>
      </c>
      <c r="J42" s="3" t="s">
        <v>109</v>
      </c>
      <c r="K42" s="3" t="s">
        <v>98</v>
      </c>
      <c r="L42" s="7">
        <v>750000</v>
      </c>
      <c r="M42" s="3" t="s">
        <v>31</v>
      </c>
      <c r="N42" s="3" t="s">
        <v>128</v>
      </c>
      <c r="O42" s="7">
        <v>665000</v>
      </c>
      <c r="P42" s="8">
        <v>0.4</v>
      </c>
      <c r="Q42" s="7">
        <f t="shared" si="2"/>
        <v>266000</v>
      </c>
    </row>
    <row r="43" ht="14.25" hidden="1" customHeight="1" spans="1:17">
      <c r="A43" s="3" t="s">
        <v>17</v>
      </c>
      <c r="B43" s="4">
        <v>46247</v>
      </c>
      <c r="C43" s="4">
        <v>46314</v>
      </c>
      <c r="D43" s="5">
        <v>0.447916666666667</v>
      </c>
      <c r="E43" s="6">
        <f t="shared" si="0"/>
        <v>2026</v>
      </c>
      <c r="F43" s="6">
        <f ca="1" t="shared" si="1"/>
        <v>83</v>
      </c>
      <c r="G43" s="3" t="s">
        <v>26</v>
      </c>
      <c r="H43" s="3" t="s">
        <v>129</v>
      </c>
      <c r="I43" s="3" t="s">
        <v>40</v>
      </c>
      <c r="J43" s="3" t="s">
        <v>51</v>
      </c>
      <c r="K43" s="3" t="s">
        <v>22</v>
      </c>
      <c r="L43" s="7">
        <v>1500000</v>
      </c>
      <c r="M43" s="3" t="s">
        <v>53</v>
      </c>
      <c r="N43" s="3" t="s">
        <v>24</v>
      </c>
      <c r="O43" s="7">
        <v>1573200</v>
      </c>
      <c r="P43" s="8"/>
      <c r="Q43" s="7" t="str">
        <f t="shared" si="2"/>
        <v/>
      </c>
    </row>
    <row r="44" ht="14.25" hidden="1" customHeight="1" spans="1:17">
      <c r="A44" s="3" t="s">
        <v>130</v>
      </c>
      <c r="B44" s="4">
        <v>46162</v>
      </c>
      <c r="C44" s="4">
        <v>46309</v>
      </c>
      <c r="D44" s="5">
        <v>0.552083333333333</v>
      </c>
      <c r="E44" s="6">
        <f t="shared" si="0"/>
        <v>2026</v>
      </c>
      <c r="F44" s="6">
        <f ca="1" t="shared" si="1"/>
        <v>78</v>
      </c>
      <c r="G44" s="3" t="s">
        <v>18</v>
      </c>
      <c r="H44" s="3" t="s">
        <v>131</v>
      </c>
      <c r="I44" s="3" t="s">
        <v>132</v>
      </c>
      <c r="J44" s="3" t="s">
        <v>21</v>
      </c>
      <c r="K44" s="3" t="s">
        <v>64</v>
      </c>
      <c r="L44" s="7">
        <v>500000</v>
      </c>
      <c r="M44" s="3" t="s">
        <v>104</v>
      </c>
      <c r="N44" s="3" t="s">
        <v>24</v>
      </c>
      <c r="O44" s="7">
        <v>489400</v>
      </c>
      <c r="P44" s="8">
        <v>0.4</v>
      </c>
      <c r="Q44" s="7">
        <f t="shared" si="2"/>
        <v>195760</v>
      </c>
    </row>
    <row r="45" ht="14.25" customHeight="1" spans="1:17">
      <c r="A45" s="3" t="s">
        <v>133</v>
      </c>
      <c r="B45" s="4">
        <v>46177</v>
      </c>
      <c r="C45" s="4">
        <v>46304</v>
      </c>
      <c r="D45" s="5">
        <v>0.447916666666667</v>
      </c>
      <c r="E45" s="6">
        <f t="shared" si="0"/>
        <v>2026</v>
      </c>
      <c r="F45" s="6">
        <f ca="1" t="shared" si="1"/>
        <v>73</v>
      </c>
      <c r="G45" s="3" t="s">
        <v>26</v>
      </c>
      <c r="H45" s="3" t="s">
        <v>134</v>
      </c>
      <c r="I45" s="3" t="s">
        <v>135</v>
      </c>
      <c r="J45" s="3" t="s">
        <v>35</v>
      </c>
      <c r="K45" s="3" t="s">
        <v>30</v>
      </c>
      <c r="L45" s="7">
        <v>350000</v>
      </c>
      <c r="M45" s="3" t="s">
        <v>77</v>
      </c>
      <c r="N45" s="3" t="s">
        <v>24</v>
      </c>
      <c r="O45" s="7">
        <v>365300</v>
      </c>
      <c r="P45" s="8">
        <v>0.8</v>
      </c>
      <c r="Q45" s="7">
        <f t="shared" si="2"/>
        <v>292240</v>
      </c>
    </row>
    <row r="46" ht="14.25" hidden="1" customHeight="1" spans="1:17">
      <c r="A46" s="3" t="s">
        <v>17</v>
      </c>
      <c r="B46" s="4">
        <v>46233</v>
      </c>
      <c r="C46" s="4">
        <v>46300</v>
      </c>
      <c r="D46" s="5">
        <v>0.541666666666667</v>
      </c>
      <c r="E46" s="6">
        <f t="shared" si="0"/>
        <v>2026</v>
      </c>
      <c r="F46" s="6">
        <f ca="1" t="shared" si="1"/>
        <v>69</v>
      </c>
      <c r="G46" s="3" t="s">
        <v>18</v>
      </c>
      <c r="H46" s="3" t="s">
        <v>136</v>
      </c>
      <c r="I46" s="3" t="s">
        <v>20</v>
      </c>
      <c r="J46" s="3" t="s">
        <v>109</v>
      </c>
      <c r="K46" s="3" t="s">
        <v>102</v>
      </c>
      <c r="L46" s="7">
        <v>750000</v>
      </c>
      <c r="M46" s="3" t="s">
        <v>53</v>
      </c>
      <c r="N46" s="3" t="s">
        <v>24</v>
      </c>
      <c r="O46" s="7">
        <v>686100</v>
      </c>
      <c r="P46" s="8">
        <v>0.6</v>
      </c>
      <c r="Q46" s="7">
        <f t="shared" si="2"/>
        <v>411660</v>
      </c>
    </row>
    <row r="47" ht="14.25" hidden="1" customHeight="1" spans="1:17">
      <c r="A47" s="3" t="s">
        <v>25</v>
      </c>
      <c r="B47" s="4">
        <v>46178</v>
      </c>
      <c r="C47" s="4">
        <v>46299</v>
      </c>
      <c r="D47" s="5">
        <v>0.541666666666667</v>
      </c>
      <c r="E47" s="6">
        <f t="shared" si="0"/>
        <v>2026</v>
      </c>
      <c r="F47" s="6">
        <f ca="1" t="shared" si="1"/>
        <v>68</v>
      </c>
      <c r="G47" s="3" t="s">
        <v>26</v>
      </c>
      <c r="H47" s="3" t="s">
        <v>137</v>
      </c>
      <c r="I47" s="3" t="s">
        <v>138</v>
      </c>
      <c r="J47" s="3" t="s">
        <v>41</v>
      </c>
      <c r="K47" s="3" t="s">
        <v>46</v>
      </c>
      <c r="L47" s="7">
        <v>1500000</v>
      </c>
      <c r="M47" s="3" t="s">
        <v>101</v>
      </c>
      <c r="N47" s="3" t="s">
        <v>72</v>
      </c>
      <c r="O47" s="7">
        <v>1334800</v>
      </c>
      <c r="P47" s="8"/>
      <c r="Q47" s="7" t="str">
        <f t="shared" si="2"/>
        <v/>
      </c>
    </row>
    <row r="48" ht="14.25" hidden="1" customHeight="1" spans="1:17">
      <c r="A48" s="3" t="s">
        <v>25</v>
      </c>
      <c r="B48" s="4">
        <v>46172</v>
      </c>
      <c r="C48" s="4">
        <v>46294</v>
      </c>
      <c r="D48" s="5">
        <v>0.635416666666667</v>
      </c>
      <c r="E48" s="6">
        <f t="shared" si="0"/>
        <v>2026</v>
      </c>
      <c r="F48" s="6">
        <f ca="1" t="shared" si="1"/>
        <v>63</v>
      </c>
      <c r="G48" s="3" t="s">
        <v>18</v>
      </c>
      <c r="H48" s="3" t="s">
        <v>131</v>
      </c>
      <c r="I48" s="3" t="s">
        <v>112</v>
      </c>
      <c r="J48" s="3" t="s">
        <v>41</v>
      </c>
      <c r="K48" s="3" t="s">
        <v>36</v>
      </c>
      <c r="L48" s="7">
        <v>80000</v>
      </c>
      <c r="M48" s="3" t="s">
        <v>31</v>
      </c>
      <c r="N48" s="3" t="s">
        <v>128</v>
      </c>
      <c r="O48" s="7">
        <v>82600</v>
      </c>
      <c r="P48" s="8">
        <v>0.2</v>
      </c>
      <c r="Q48" s="7">
        <f t="shared" si="2"/>
        <v>16520</v>
      </c>
    </row>
    <row r="49" ht="14.25" hidden="1" customHeight="1" spans="1:17">
      <c r="A49" s="3" t="s">
        <v>48</v>
      </c>
      <c r="B49" s="4">
        <v>46177</v>
      </c>
      <c r="C49" s="4">
        <v>46293</v>
      </c>
      <c r="D49" s="5">
        <v>0.510416666666667</v>
      </c>
      <c r="E49" s="6">
        <f t="shared" si="0"/>
        <v>2026</v>
      </c>
      <c r="F49" s="6">
        <f ca="1" t="shared" si="1"/>
        <v>62</v>
      </c>
      <c r="G49" s="3" t="s">
        <v>38</v>
      </c>
      <c r="H49" s="3" t="s">
        <v>99</v>
      </c>
      <c r="I49" s="3" t="s">
        <v>139</v>
      </c>
      <c r="J49" s="3" t="s">
        <v>51</v>
      </c>
      <c r="K49" s="3" t="s">
        <v>140</v>
      </c>
      <c r="L49" s="7">
        <v>350000</v>
      </c>
      <c r="M49" s="3" t="s">
        <v>31</v>
      </c>
      <c r="N49" s="3" t="s">
        <v>24</v>
      </c>
      <c r="O49" s="7">
        <v>334500</v>
      </c>
      <c r="P49" s="8"/>
      <c r="Q49" s="7" t="str">
        <f t="shared" si="2"/>
        <v/>
      </c>
    </row>
    <row r="50" ht="14.25" hidden="1" customHeight="1" spans="1:17">
      <c r="A50" s="3" t="s">
        <v>130</v>
      </c>
      <c r="B50" s="4">
        <v>46193</v>
      </c>
      <c r="C50" s="4">
        <v>46289</v>
      </c>
      <c r="D50" s="5">
        <v>0.427083333333333</v>
      </c>
      <c r="E50" s="6">
        <f t="shared" si="0"/>
        <v>2026</v>
      </c>
      <c r="F50" s="6">
        <f ca="1" t="shared" si="1"/>
        <v>58</v>
      </c>
      <c r="G50" s="3" t="s">
        <v>18</v>
      </c>
      <c r="H50" s="3" t="s">
        <v>131</v>
      </c>
      <c r="I50" s="3" t="s">
        <v>132</v>
      </c>
      <c r="J50" s="3" t="s">
        <v>51</v>
      </c>
      <c r="K50" s="3" t="s">
        <v>64</v>
      </c>
      <c r="L50" s="7">
        <v>500000</v>
      </c>
      <c r="M50" s="3" t="s">
        <v>104</v>
      </c>
      <c r="N50" s="3" t="s">
        <v>24</v>
      </c>
      <c r="O50" s="7">
        <v>432100</v>
      </c>
      <c r="P50" s="8">
        <v>0.4</v>
      </c>
      <c r="Q50" s="7">
        <f t="shared" si="2"/>
        <v>172840</v>
      </c>
    </row>
    <row r="51" ht="14.25" hidden="1" customHeight="1" spans="1:17">
      <c r="A51" s="3" t="s">
        <v>43</v>
      </c>
      <c r="B51" s="4">
        <v>46207</v>
      </c>
      <c r="C51" s="4">
        <v>46286</v>
      </c>
      <c r="D51" s="5">
        <v>0.583333333333333</v>
      </c>
      <c r="E51" s="6">
        <f t="shared" si="0"/>
        <v>2026</v>
      </c>
      <c r="F51" s="6">
        <f ca="1" t="shared" si="1"/>
        <v>55</v>
      </c>
      <c r="G51" s="3" t="s">
        <v>38</v>
      </c>
      <c r="H51" s="3" t="s">
        <v>39</v>
      </c>
      <c r="I51" s="3" t="s">
        <v>141</v>
      </c>
      <c r="J51" s="3" t="s">
        <v>41</v>
      </c>
      <c r="K51" s="3" t="s">
        <v>71</v>
      </c>
      <c r="L51" s="7">
        <v>180000</v>
      </c>
      <c r="M51" s="3" t="s">
        <v>104</v>
      </c>
      <c r="N51" s="3" t="s">
        <v>24</v>
      </c>
      <c r="O51" s="7">
        <v>176300</v>
      </c>
      <c r="P51" s="8">
        <v>0.2</v>
      </c>
      <c r="Q51" s="7">
        <f t="shared" si="2"/>
        <v>35260</v>
      </c>
    </row>
    <row r="52" ht="14.25" hidden="1" customHeight="1" spans="1:17">
      <c r="A52" s="3" t="s">
        <v>73</v>
      </c>
      <c r="B52" s="4">
        <v>46127</v>
      </c>
      <c r="C52" s="4">
        <v>46285</v>
      </c>
      <c r="D52" s="5">
        <v>0.604166666666667</v>
      </c>
      <c r="E52" s="6">
        <f t="shared" si="0"/>
        <v>2026</v>
      </c>
      <c r="F52" s="6">
        <f ca="1" t="shared" si="1"/>
        <v>54</v>
      </c>
      <c r="G52" s="3" t="s">
        <v>18</v>
      </c>
      <c r="H52" s="3" t="s">
        <v>142</v>
      </c>
      <c r="I52" s="3" t="s">
        <v>143</v>
      </c>
      <c r="J52" s="3" t="s">
        <v>41</v>
      </c>
      <c r="K52" s="3" t="s">
        <v>98</v>
      </c>
      <c r="L52" s="7">
        <v>120000</v>
      </c>
      <c r="M52" s="3" t="s">
        <v>101</v>
      </c>
      <c r="N52" s="3" t="s">
        <v>24</v>
      </c>
      <c r="O52" s="7">
        <v>113800</v>
      </c>
      <c r="P52" s="8">
        <v>0.4</v>
      </c>
      <c r="Q52" s="7">
        <f t="shared" si="2"/>
        <v>45520</v>
      </c>
    </row>
    <row r="53" ht="14.25" hidden="1" customHeight="1" spans="1:17">
      <c r="A53" s="3" t="s">
        <v>25</v>
      </c>
      <c r="B53" s="4">
        <v>46148</v>
      </c>
      <c r="C53" s="4">
        <v>46284</v>
      </c>
      <c r="D53" s="5">
        <v>0.458333333333333</v>
      </c>
      <c r="E53" s="6">
        <f t="shared" si="0"/>
        <v>2026</v>
      </c>
      <c r="F53" s="6">
        <f ca="1" t="shared" si="1"/>
        <v>53</v>
      </c>
      <c r="G53" s="3" t="s">
        <v>26</v>
      </c>
      <c r="H53" s="3" t="s">
        <v>58</v>
      </c>
      <c r="I53" s="3" t="s">
        <v>95</v>
      </c>
      <c r="J53" s="3" t="s">
        <v>21</v>
      </c>
      <c r="K53" s="3" t="s">
        <v>22</v>
      </c>
      <c r="L53" s="7">
        <v>350000</v>
      </c>
      <c r="M53" s="3" t="s">
        <v>31</v>
      </c>
      <c r="N53" s="3" t="s">
        <v>57</v>
      </c>
      <c r="O53" s="7">
        <v>317600</v>
      </c>
      <c r="P53" s="8"/>
      <c r="Q53" s="7" t="str">
        <f t="shared" si="2"/>
        <v/>
      </c>
    </row>
    <row r="54" ht="14.25" customHeight="1" spans="1:17">
      <c r="A54" s="3" t="s">
        <v>17</v>
      </c>
      <c r="B54" s="4">
        <v>46148</v>
      </c>
      <c r="C54" s="4">
        <v>46283</v>
      </c>
      <c r="D54" s="5">
        <v>0.552083333333333</v>
      </c>
      <c r="E54" s="6">
        <f t="shared" si="0"/>
        <v>2026</v>
      </c>
      <c r="F54" s="6">
        <f ca="1" t="shared" si="1"/>
        <v>52</v>
      </c>
      <c r="G54" s="3" t="s">
        <v>18</v>
      </c>
      <c r="H54" s="3" t="s">
        <v>144</v>
      </c>
      <c r="I54" s="3" t="s">
        <v>122</v>
      </c>
      <c r="J54" s="3" t="s">
        <v>113</v>
      </c>
      <c r="K54" s="3" t="s">
        <v>145</v>
      </c>
      <c r="L54" s="7">
        <v>80000</v>
      </c>
      <c r="M54" s="3" t="s">
        <v>37</v>
      </c>
      <c r="N54" s="3" t="s">
        <v>24</v>
      </c>
      <c r="O54" s="7">
        <v>71800</v>
      </c>
      <c r="P54" s="8">
        <v>0.8</v>
      </c>
      <c r="Q54" s="7">
        <f t="shared" si="2"/>
        <v>57440</v>
      </c>
    </row>
    <row r="55" ht="14.25" hidden="1" customHeight="1" spans="1:17">
      <c r="A55" s="3" t="s">
        <v>48</v>
      </c>
      <c r="B55" s="4">
        <v>46116</v>
      </c>
      <c r="C55" s="4">
        <v>46280</v>
      </c>
      <c r="D55" s="5">
        <v>0.447916666666667</v>
      </c>
      <c r="E55" s="6">
        <f t="shared" si="0"/>
        <v>2026</v>
      </c>
      <c r="F55" s="6">
        <f ca="1" t="shared" si="1"/>
        <v>49</v>
      </c>
      <c r="G55" s="3" t="s">
        <v>18</v>
      </c>
      <c r="H55" s="3" t="s">
        <v>146</v>
      </c>
      <c r="I55" s="3" t="s">
        <v>147</v>
      </c>
      <c r="J55" s="3" t="s">
        <v>41</v>
      </c>
      <c r="K55" s="3" t="s">
        <v>140</v>
      </c>
      <c r="L55" s="7">
        <v>180000</v>
      </c>
      <c r="M55" s="3" t="s">
        <v>68</v>
      </c>
      <c r="N55" s="3" t="s">
        <v>148</v>
      </c>
      <c r="O55" s="7">
        <v>165500</v>
      </c>
      <c r="P55" s="8"/>
      <c r="Q55" s="7" t="str">
        <f t="shared" si="2"/>
        <v/>
      </c>
    </row>
    <row r="56" ht="14.25" hidden="1" customHeight="1" spans="1:17">
      <c r="A56" s="3" t="s">
        <v>48</v>
      </c>
      <c r="B56" s="4">
        <v>46153</v>
      </c>
      <c r="C56" s="4">
        <v>46279</v>
      </c>
      <c r="D56" s="5">
        <v>0.614583333333333</v>
      </c>
      <c r="E56" s="6">
        <f t="shared" si="0"/>
        <v>2026</v>
      </c>
      <c r="F56" s="6">
        <f ca="1" t="shared" si="1"/>
        <v>48</v>
      </c>
      <c r="G56" s="3" t="s">
        <v>26</v>
      </c>
      <c r="H56" s="3" t="s">
        <v>149</v>
      </c>
      <c r="I56" s="3" t="s">
        <v>150</v>
      </c>
      <c r="J56" s="3" t="s">
        <v>29</v>
      </c>
      <c r="K56" s="3" t="s">
        <v>46</v>
      </c>
      <c r="L56" s="7">
        <v>50000</v>
      </c>
      <c r="M56" s="3" t="s">
        <v>31</v>
      </c>
      <c r="N56" s="3" t="s">
        <v>72</v>
      </c>
      <c r="O56" s="7">
        <v>47300</v>
      </c>
      <c r="P56" s="8"/>
      <c r="Q56" s="7" t="str">
        <f t="shared" si="2"/>
        <v/>
      </c>
    </row>
    <row r="57" ht="14.25" hidden="1" customHeight="1" spans="1:17">
      <c r="A57" s="3" t="s">
        <v>17</v>
      </c>
      <c r="B57" s="4">
        <v>46219</v>
      </c>
      <c r="C57" s="4">
        <v>46277</v>
      </c>
      <c r="D57" s="5">
        <v>0.520833333333333</v>
      </c>
      <c r="E57" s="6">
        <f t="shared" si="0"/>
        <v>2026</v>
      </c>
      <c r="F57" s="6">
        <f ca="1" t="shared" si="1"/>
        <v>46</v>
      </c>
      <c r="G57" s="3" t="s">
        <v>18</v>
      </c>
      <c r="H57" s="3" t="s">
        <v>86</v>
      </c>
      <c r="I57" s="3" t="s">
        <v>151</v>
      </c>
      <c r="J57" s="3" t="s">
        <v>51</v>
      </c>
      <c r="K57" s="3" t="s">
        <v>76</v>
      </c>
      <c r="L57" s="7">
        <v>120000</v>
      </c>
      <c r="M57" s="3" t="s">
        <v>31</v>
      </c>
      <c r="N57" s="3" t="s">
        <v>24</v>
      </c>
      <c r="O57" s="7">
        <v>105200</v>
      </c>
      <c r="P57" s="8">
        <v>0.6</v>
      </c>
      <c r="Q57" s="7">
        <f t="shared" si="2"/>
        <v>63120</v>
      </c>
    </row>
    <row r="58" ht="14.25" hidden="1" customHeight="1" spans="1:17">
      <c r="A58" s="3" t="s">
        <v>152</v>
      </c>
      <c r="B58" s="4">
        <v>46215</v>
      </c>
      <c r="C58" s="4">
        <v>46276</v>
      </c>
      <c r="D58" s="5">
        <v>0.635416666666667</v>
      </c>
      <c r="E58" s="6">
        <f t="shared" si="0"/>
        <v>2026</v>
      </c>
      <c r="F58" s="6">
        <f ca="1" t="shared" si="1"/>
        <v>45</v>
      </c>
      <c r="G58" s="3" t="s">
        <v>38</v>
      </c>
      <c r="H58" s="3" t="s">
        <v>39</v>
      </c>
      <c r="I58" s="3" t="s">
        <v>153</v>
      </c>
      <c r="J58" s="3" t="s">
        <v>35</v>
      </c>
      <c r="K58" s="3" t="s">
        <v>67</v>
      </c>
      <c r="L58" s="7">
        <v>120000</v>
      </c>
      <c r="M58" s="3" t="s">
        <v>23</v>
      </c>
      <c r="N58" s="3" t="s">
        <v>105</v>
      </c>
      <c r="O58" s="7">
        <v>107700</v>
      </c>
      <c r="P58" s="8"/>
      <c r="Q58" s="7" t="str">
        <f t="shared" si="2"/>
        <v/>
      </c>
    </row>
    <row r="59" ht="14.25" hidden="1" customHeight="1" spans="1:17">
      <c r="A59" s="3" t="s">
        <v>17</v>
      </c>
      <c r="B59" s="4">
        <v>46200</v>
      </c>
      <c r="C59" s="4">
        <v>46272</v>
      </c>
      <c r="D59" s="5">
        <v>0.635416666666667</v>
      </c>
      <c r="E59" s="6">
        <f t="shared" si="0"/>
        <v>2026</v>
      </c>
      <c r="F59" s="6">
        <f ca="1" t="shared" si="1"/>
        <v>41</v>
      </c>
      <c r="G59" s="3" t="s">
        <v>38</v>
      </c>
      <c r="H59" s="3" t="s">
        <v>49</v>
      </c>
      <c r="I59" s="3" t="s">
        <v>154</v>
      </c>
      <c r="J59" s="3" t="s">
        <v>41</v>
      </c>
      <c r="K59" s="3" t="s">
        <v>46</v>
      </c>
      <c r="L59" s="7">
        <v>120000</v>
      </c>
      <c r="M59" s="3" t="s">
        <v>101</v>
      </c>
      <c r="N59" s="3" t="s">
        <v>155</v>
      </c>
      <c r="O59" s="7">
        <v>102900</v>
      </c>
      <c r="P59" s="8"/>
      <c r="Q59" s="7" t="str">
        <f t="shared" si="2"/>
        <v/>
      </c>
    </row>
    <row r="60" ht="14.25" customHeight="1" spans="1:17">
      <c r="A60" s="3" t="s">
        <v>25</v>
      </c>
      <c r="B60" s="4">
        <v>46203</v>
      </c>
      <c r="C60" s="4">
        <v>46270</v>
      </c>
      <c r="D60" s="5">
        <v>0.541666666666667</v>
      </c>
      <c r="E60" s="6">
        <f t="shared" si="0"/>
        <v>2026</v>
      </c>
      <c r="F60" s="6">
        <f ca="1" t="shared" si="1"/>
        <v>39</v>
      </c>
      <c r="G60" s="3" t="s">
        <v>18</v>
      </c>
      <c r="H60" s="3" t="s">
        <v>131</v>
      </c>
      <c r="I60" s="3" t="s">
        <v>138</v>
      </c>
      <c r="J60" s="3" t="s">
        <v>29</v>
      </c>
      <c r="K60" s="3" t="s">
        <v>30</v>
      </c>
      <c r="L60" s="7">
        <v>80000</v>
      </c>
      <c r="M60" s="3" t="s">
        <v>68</v>
      </c>
      <c r="N60" s="3" t="s">
        <v>47</v>
      </c>
      <c r="O60" s="7">
        <v>71700</v>
      </c>
      <c r="P60" s="8">
        <v>0.8</v>
      </c>
      <c r="Q60" s="7">
        <f t="shared" si="2"/>
        <v>57360</v>
      </c>
    </row>
    <row r="61" ht="14.25" hidden="1" customHeight="1" spans="1:17">
      <c r="A61" s="3" t="s">
        <v>17</v>
      </c>
      <c r="B61" s="4">
        <v>46142</v>
      </c>
      <c r="C61" s="4">
        <v>46269</v>
      </c>
      <c r="D61" s="5">
        <v>0.625</v>
      </c>
      <c r="E61" s="6">
        <f t="shared" si="0"/>
        <v>2026</v>
      </c>
      <c r="F61" s="6">
        <f ca="1" t="shared" si="1"/>
        <v>38</v>
      </c>
      <c r="G61" s="3" t="s">
        <v>18</v>
      </c>
      <c r="H61" s="3" t="s">
        <v>94</v>
      </c>
      <c r="I61" s="3" t="s">
        <v>156</v>
      </c>
      <c r="J61" s="3" t="s">
        <v>113</v>
      </c>
      <c r="K61" s="3" t="s">
        <v>140</v>
      </c>
      <c r="L61" s="7">
        <v>1500000</v>
      </c>
      <c r="M61" s="3" t="s">
        <v>31</v>
      </c>
      <c r="N61" s="3" t="s">
        <v>24</v>
      </c>
      <c r="O61" s="7">
        <v>1334800</v>
      </c>
      <c r="P61" s="8"/>
      <c r="Q61" s="7" t="str">
        <f t="shared" si="2"/>
        <v/>
      </c>
    </row>
    <row r="62" ht="14.25" hidden="1" customHeight="1" spans="1:17">
      <c r="A62" s="3" t="s">
        <v>17</v>
      </c>
      <c r="B62" s="4">
        <v>46153</v>
      </c>
      <c r="C62" s="4">
        <v>46269</v>
      </c>
      <c r="D62" s="5">
        <v>0.489583333333333</v>
      </c>
      <c r="E62" s="6">
        <f t="shared" si="0"/>
        <v>2026</v>
      </c>
      <c r="F62" s="6">
        <f ca="1" t="shared" si="1"/>
        <v>38</v>
      </c>
      <c r="G62" s="3" t="s">
        <v>38</v>
      </c>
      <c r="H62" s="3" t="s">
        <v>157</v>
      </c>
      <c r="I62" s="3" t="s">
        <v>107</v>
      </c>
      <c r="J62" s="3" t="s">
        <v>29</v>
      </c>
      <c r="K62" s="3" t="s">
        <v>22</v>
      </c>
      <c r="L62" s="7">
        <v>750000</v>
      </c>
      <c r="M62" s="3" t="s">
        <v>68</v>
      </c>
      <c r="N62" s="3" t="s">
        <v>24</v>
      </c>
      <c r="O62" s="7">
        <v>747300</v>
      </c>
      <c r="P62" s="8"/>
      <c r="Q62" s="7" t="str">
        <f t="shared" si="2"/>
        <v/>
      </c>
    </row>
    <row r="63" ht="14.25" hidden="1" customHeight="1" spans="1:17">
      <c r="A63" s="3" t="s">
        <v>133</v>
      </c>
      <c r="B63" s="4">
        <v>46215</v>
      </c>
      <c r="C63" s="4">
        <v>46266</v>
      </c>
      <c r="D63" s="5">
        <v>0.666666666666667</v>
      </c>
      <c r="E63" s="6">
        <f t="shared" si="0"/>
        <v>2026</v>
      </c>
      <c r="F63" s="6">
        <f ca="1" t="shared" si="1"/>
        <v>35</v>
      </c>
      <c r="G63" s="3" t="s">
        <v>18</v>
      </c>
      <c r="H63" s="3" t="s">
        <v>158</v>
      </c>
      <c r="I63" s="3" t="s">
        <v>135</v>
      </c>
      <c r="J63" s="3" t="s">
        <v>41</v>
      </c>
      <c r="K63" s="3" t="s">
        <v>67</v>
      </c>
      <c r="L63" s="7">
        <v>750000</v>
      </c>
      <c r="M63" s="3" t="s">
        <v>60</v>
      </c>
      <c r="N63" s="3" t="s">
        <v>24</v>
      </c>
      <c r="O63" s="7">
        <v>656100</v>
      </c>
      <c r="P63" s="8"/>
      <c r="Q63" s="7" t="str">
        <f t="shared" si="2"/>
        <v/>
      </c>
    </row>
    <row r="64" ht="14.25" customHeight="1" spans="1:17">
      <c r="A64" s="3" t="s">
        <v>25</v>
      </c>
      <c r="B64" s="4">
        <v>46160</v>
      </c>
      <c r="C64" s="4">
        <v>46266</v>
      </c>
      <c r="D64" s="5">
        <v>0.4375</v>
      </c>
      <c r="E64" s="6">
        <f t="shared" si="0"/>
        <v>2026</v>
      </c>
      <c r="F64" s="6">
        <f ca="1" t="shared" si="1"/>
        <v>35</v>
      </c>
      <c r="G64" s="3" t="s">
        <v>38</v>
      </c>
      <c r="H64" s="3" t="s">
        <v>159</v>
      </c>
      <c r="I64" s="3" t="s">
        <v>160</v>
      </c>
      <c r="J64" s="3" t="s">
        <v>21</v>
      </c>
      <c r="K64" s="3" t="s">
        <v>145</v>
      </c>
      <c r="L64" s="7">
        <v>250000</v>
      </c>
      <c r="M64" s="3" t="s">
        <v>31</v>
      </c>
      <c r="N64" s="3" t="s">
        <v>24</v>
      </c>
      <c r="O64" s="7">
        <v>248300</v>
      </c>
      <c r="P64" s="8">
        <v>0.8</v>
      </c>
      <c r="Q64" s="7">
        <f t="shared" si="2"/>
        <v>198640</v>
      </c>
    </row>
    <row r="65" ht="14.25" customHeight="1" spans="1:17">
      <c r="A65" s="3" t="s">
        <v>54</v>
      </c>
      <c r="B65" s="4">
        <v>46145</v>
      </c>
      <c r="C65" s="4">
        <v>46266</v>
      </c>
      <c r="D65" s="5">
        <v>0.4375</v>
      </c>
      <c r="E65" s="6">
        <f t="shared" si="0"/>
        <v>2026</v>
      </c>
      <c r="F65" s="6">
        <f ca="1" t="shared" si="1"/>
        <v>35</v>
      </c>
      <c r="G65" s="3" t="s">
        <v>18</v>
      </c>
      <c r="H65" s="3" t="s">
        <v>161</v>
      </c>
      <c r="I65" s="3" t="s">
        <v>162</v>
      </c>
      <c r="J65" s="3" t="s">
        <v>113</v>
      </c>
      <c r="K65" s="3" t="s">
        <v>62</v>
      </c>
      <c r="L65" s="7">
        <v>1000000</v>
      </c>
      <c r="M65" s="3" t="s">
        <v>31</v>
      </c>
      <c r="N65" s="3" t="s">
        <v>163</v>
      </c>
      <c r="O65" s="7">
        <v>973100</v>
      </c>
      <c r="P65" s="8">
        <v>1</v>
      </c>
      <c r="Q65" s="7">
        <f t="shared" si="2"/>
        <v>973100</v>
      </c>
    </row>
    <row r="66" ht="14.25" hidden="1" customHeight="1" spans="1:17">
      <c r="A66" s="3" t="s">
        <v>25</v>
      </c>
      <c r="B66" s="4">
        <v>46128</v>
      </c>
      <c r="C66" s="4">
        <v>46264</v>
      </c>
      <c r="D66" s="5">
        <v>0.65625</v>
      </c>
      <c r="E66" s="6">
        <f t="shared" ref="E66:E129" si="3">YEAR(C66)</f>
        <v>2026</v>
      </c>
      <c r="F66" s="6">
        <f ca="1" t="shared" ref="F66:F129" si="4">C66-TODAY()</f>
        <v>33</v>
      </c>
      <c r="G66" s="3" t="s">
        <v>26</v>
      </c>
      <c r="H66" s="3" t="s">
        <v>164</v>
      </c>
      <c r="I66" s="3" t="s">
        <v>165</v>
      </c>
      <c r="J66" s="3" t="s">
        <v>41</v>
      </c>
      <c r="K66" s="3" t="s">
        <v>71</v>
      </c>
      <c r="L66" s="7">
        <v>1500000</v>
      </c>
      <c r="M66" s="3" t="s">
        <v>31</v>
      </c>
      <c r="N66" s="3" t="s">
        <v>24</v>
      </c>
      <c r="O66" s="7">
        <v>1279200</v>
      </c>
      <c r="P66" s="8">
        <v>0.2</v>
      </c>
      <c r="Q66" s="7">
        <f t="shared" ref="Q66:Q129" si="5">IF(P66="","",O66*P66)</f>
        <v>255840</v>
      </c>
    </row>
    <row r="67" ht="14.25" hidden="1" customHeight="1" spans="1:17">
      <c r="A67" s="3" t="s">
        <v>17</v>
      </c>
      <c r="B67" s="4">
        <v>46127</v>
      </c>
      <c r="C67" s="4">
        <v>46261</v>
      </c>
      <c r="D67" s="5">
        <v>0.5</v>
      </c>
      <c r="E67" s="6">
        <f t="shared" si="3"/>
        <v>2026</v>
      </c>
      <c r="F67" s="6">
        <f ca="1" t="shared" si="4"/>
        <v>30</v>
      </c>
      <c r="G67" s="3" t="s">
        <v>18</v>
      </c>
      <c r="H67" s="3" t="s">
        <v>166</v>
      </c>
      <c r="I67" s="3" t="s">
        <v>20</v>
      </c>
      <c r="J67" s="3" t="s">
        <v>51</v>
      </c>
      <c r="K67" s="3" t="s">
        <v>46</v>
      </c>
      <c r="L67" s="7">
        <v>1000000</v>
      </c>
      <c r="M67" s="3" t="s">
        <v>42</v>
      </c>
      <c r="N67" s="3" t="s">
        <v>57</v>
      </c>
      <c r="O67" s="7">
        <v>855000</v>
      </c>
      <c r="P67" s="8"/>
      <c r="Q67" s="7" t="str">
        <f t="shared" si="5"/>
        <v/>
      </c>
    </row>
    <row r="68" ht="14.25" hidden="1" customHeight="1" spans="1:17">
      <c r="A68" s="3" t="s">
        <v>25</v>
      </c>
      <c r="B68" s="4">
        <v>46131</v>
      </c>
      <c r="C68" s="4">
        <v>46257</v>
      </c>
      <c r="D68" s="5">
        <v>0.520833333333333</v>
      </c>
      <c r="E68" s="6">
        <f t="shared" si="3"/>
        <v>2026</v>
      </c>
      <c r="F68" s="6">
        <f ca="1" t="shared" si="4"/>
        <v>26</v>
      </c>
      <c r="G68" s="3" t="s">
        <v>18</v>
      </c>
      <c r="H68" s="3" t="s">
        <v>167</v>
      </c>
      <c r="I68" s="3" t="s">
        <v>168</v>
      </c>
      <c r="J68" s="3" t="s">
        <v>21</v>
      </c>
      <c r="K68" s="3" t="s">
        <v>46</v>
      </c>
      <c r="L68" s="7">
        <v>500000</v>
      </c>
      <c r="M68" s="3" t="s">
        <v>42</v>
      </c>
      <c r="N68" s="3" t="s">
        <v>128</v>
      </c>
      <c r="O68" s="7">
        <v>450000</v>
      </c>
      <c r="P68" s="8"/>
      <c r="Q68" s="7" t="str">
        <f t="shared" si="5"/>
        <v/>
      </c>
    </row>
    <row r="69" ht="14.25" customHeight="1" spans="1:17">
      <c r="A69" s="3" t="s">
        <v>25</v>
      </c>
      <c r="B69" s="4">
        <v>46168</v>
      </c>
      <c r="C69" s="4">
        <v>46256</v>
      </c>
      <c r="D69" s="5">
        <v>0.447916666666667</v>
      </c>
      <c r="E69" s="6">
        <f t="shared" si="3"/>
        <v>2026</v>
      </c>
      <c r="F69" s="6">
        <f ca="1" t="shared" si="4"/>
        <v>25</v>
      </c>
      <c r="G69" s="3" t="s">
        <v>18</v>
      </c>
      <c r="H69" s="3" t="s">
        <v>169</v>
      </c>
      <c r="I69" s="3" t="s">
        <v>170</v>
      </c>
      <c r="J69" s="3" t="s">
        <v>41</v>
      </c>
      <c r="K69" s="3" t="s">
        <v>62</v>
      </c>
      <c r="L69" s="7">
        <v>80000</v>
      </c>
      <c r="M69" s="3" t="s">
        <v>31</v>
      </c>
      <c r="N69" s="3" t="s">
        <v>24</v>
      </c>
      <c r="O69" s="7">
        <v>77300</v>
      </c>
      <c r="P69" s="8">
        <v>1</v>
      </c>
      <c r="Q69" s="7">
        <f t="shared" si="5"/>
        <v>77300</v>
      </c>
    </row>
    <row r="70" ht="14.25" hidden="1" customHeight="1" spans="1:17">
      <c r="A70" s="3" t="s">
        <v>25</v>
      </c>
      <c r="B70" s="4">
        <v>46077</v>
      </c>
      <c r="C70" s="4">
        <v>46254</v>
      </c>
      <c r="D70" s="5">
        <v>0.5</v>
      </c>
      <c r="E70" s="6">
        <f t="shared" si="3"/>
        <v>2026</v>
      </c>
      <c r="F70" s="6">
        <f ca="1" t="shared" si="4"/>
        <v>23</v>
      </c>
      <c r="G70" s="3" t="s">
        <v>26</v>
      </c>
      <c r="H70" s="3" t="s">
        <v>171</v>
      </c>
      <c r="I70" s="3" t="s">
        <v>112</v>
      </c>
      <c r="J70" s="3" t="s">
        <v>51</v>
      </c>
      <c r="K70" s="3" t="s">
        <v>64</v>
      </c>
      <c r="L70" s="7">
        <v>1500000</v>
      </c>
      <c r="M70" s="3" t="s">
        <v>68</v>
      </c>
      <c r="N70" s="3" t="s">
        <v>24</v>
      </c>
      <c r="O70" s="7">
        <v>1458200</v>
      </c>
      <c r="P70" s="8">
        <v>0.4</v>
      </c>
      <c r="Q70" s="7">
        <f t="shared" si="5"/>
        <v>583280</v>
      </c>
    </row>
    <row r="71" ht="14.25" hidden="1" customHeight="1" spans="1:17">
      <c r="A71" s="3" t="s">
        <v>25</v>
      </c>
      <c r="B71" s="4">
        <v>46101</v>
      </c>
      <c r="C71" s="4">
        <v>46253</v>
      </c>
      <c r="D71" s="5">
        <v>0.447916666666667</v>
      </c>
      <c r="E71" s="6">
        <f t="shared" si="3"/>
        <v>2026</v>
      </c>
      <c r="F71" s="6">
        <f ca="1" t="shared" si="4"/>
        <v>22</v>
      </c>
      <c r="G71" s="3" t="s">
        <v>38</v>
      </c>
      <c r="H71" s="3" t="s">
        <v>39</v>
      </c>
      <c r="I71" s="3" t="s">
        <v>172</v>
      </c>
      <c r="J71" s="3" t="s">
        <v>51</v>
      </c>
      <c r="K71" s="3" t="s">
        <v>36</v>
      </c>
      <c r="L71" s="7">
        <v>180000</v>
      </c>
      <c r="M71" s="3" t="s">
        <v>31</v>
      </c>
      <c r="N71" s="3" t="s">
        <v>163</v>
      </c>
      <c r="O71" s="7">
        <v>187900</v>
      </c>
      <c r="P71" s="8">
        <v>0.2</v>
      </c>
      <c r="Q71" s="7">
        <f t="shared" si="5"/>
        <v>37580</v>
      </c>
    </row>
    <row r="72" ht="14.25" hidden="1" customHeight="1" spans="1:17">
      <c r="A72" s="3" t="s">
        <v>25</v>
      </c>
      <c r="B72" s="4">
        <v>46139</v>
      </c>
      <c r="C72" s="4">
        <v>46252</v>
      </c>
      <c r="D72" s="5">
        <v>0.552083333333333</v>
      </c>
      <c r="E72" s="6">
        <f t="shared" si="3"/>
        <v>2026</v>
      </c>
      <c r="F72" s="6">
        <f ca="1" t="shared" si="4"/>
        <v>21</v>
      </c>
      <c r="G72" s="3" t="s">
        <v>18</v>
      </c>
      <c r="H72" s="3" t="s">
        <v>173</v>
      </c>
      <c r="I72" s="3" t="s">
        <v>172</v>
      </c>
      <c r="J72" s="3" t="s">
        <v>21</v>
      </c>
      <c r="K72" s="3" t="s">
        <v>46</v>
      </c>
      <c r="L72" s="7">
        <v>1500000</v>
      </c>
      <c r="M72" s="3" t="s">
        <v>31</v>
      </c>
      <c r="N72" s="3" t="s">
        <v>24</v>
      </c>
      <c r="O72" s="7">
        <v>1479700</v>
      </c>
      <c r="P72" s="8"/>
      <c r="Q72" s="7" t="str">
        <f t="shared" si="5"/>
        <v/>
      </c>
    </row>
    <row r="73" ht="14.25" hidden="1" customHeight="1" spans="1:17">
      <c r="A73" s="3" t="s">
        <v>17</v>
      </c>
      <c r="B73" s="4">
        <v>46202</v>
      </c>
      <c r="C73" s="4">
        <v>46250</v>
      </c>
      <c r="D73" s="5">
        <v>0.510416666666667</v>
      </c>
      <c r="E73" s="6">
        <f t="shared" si="3"/>
        <v>2026</v>
      </c>
      <c r="F73" s="6">
        <f ca="1" t="shared" si="4"/>
        <v>19</v>
      </c>
      <c r="G73" s="3" t="s">
        <v>26</v>
      </c>
      <c r="H73" s="3" t="s">
        <v>174</v>
      </c>
      <c r="I73" s="3" t="s">
        <v>20</v>
      </c>
      <c r="J73" s="3" t="s">
        <v>51</v>
      </c>
      <c r="K73" s="3" t="s">
        <v>71</v>
      </c>
      <c r="L73" s="7">
        <v>500000</v>
      </c>
      <c r="M73" s="3" t="s">
        <v>23</v>
      </c>
      <c r="N73" s="3" t="s">
        <v>24</v>
      </c>
      <c r="O73" s="7">
        <v>443600</v>
      </c>
      <c r="P73" s="8">
        <v>0.2</v>
      </c>
      <c r="Q73" s="7">
        <f t="shared" si="5"/>
        <v>88720</v>
      </c>
    </row>
    <row r="74" ht="14.25" hidden="1" customHeight="1" spans="1:17">
      <c r="A74" s="3" t="s">
        <v>25</v>
      </c>
      <c r="B74" s="4">
        <v>46144</v>
      </c>
      <c r="C74" s="4">
        <v>46250</v>
      </c>
      <c r="D74" s="5">
        <v>0.572916666666667</v>
      </c>
      <c r="E74" s="6">
        <f t="shared" si="3"/>
        <v>2026</v>
      </c>
      <c r="F74" s="6">
        <f ca="1" t="shared" si="4"/>
        <v>19</v>
      </c>
      <c r="G74" s="3" t="s">
        <v>26</v>
      </c>
      <c r="H74" s="3" t="s">
        <v>119</v>
      </c>
      <c r="I74" s="3" t="s">
        <v>120</v>
      </c>
      <c r="J74" s="3" t="s">
        <v>51</v>
      </c>
      <c r="K74" s="3" t="s">
        <v>64</v>
      </c>
      <c r="L74" s="7">
        <v>500000</v>
      </c>
      <c r="M74" s="3" t="s">
        <v>31</v>
      </c>
      <c r="N74" s="3" t="s">
        <v>24</v>
      </c>
      <c r="O74" s="7">
        <v>506200</v>
      </c>
      <c r="P74" s="8">
        <v>0.4</v>
      </c>
      <c r="Q74" s="7">
        <f t="shared" si="5"/>
        <v>202480</v>
      </c>
    </row>
    <row r="75" ht="14.25" hidden="1" customHeight="1" spans="1:17">
      <c r="A75" s="3" t="s">
        <v>17</v>
      </c>
      <c r="B75" s="4">
        <v>46133</v>
      </c>
      <c r="C75" s="4">
        <v>46249</v>
      </c>
      <c r="D75" s="5">
        <v>0.645833333333333</v>
      </c>
      <c r="E75" s="6">
        <f t="shared" si="3"/>
        <v>2026</v>
      </c>
      <c r="F75" s="6">
        <f ca="1" t="shared" si="4"/>
        <v>18</v>
      </c>
      <c r="G75" s="3" t="s">
        <v>18</v>
      </c>
      <c r="H75" s="3" t="s">
        <v>175</v>
      </c>
      <c r="I75" s="3" t="s">
        <v>176</v>
      </c>
      <c r="J75" s="3" t="s">
        <v>51</v>
      </c>
      <c r="K75" s="3" t="s">
        <v>22</v>
      </c>
      <c r="L75" s="7">
        <v>80000</v>
      </c>
      <c r="M75" s="3" t="s">
        <v>56</v>
      </c>
      <c r="N75" s="3" t="s">
        <v>57</v>
      </c>
      <c r="O75" s="7">
        <v>80500</v>
      </c>
      <c r="P75" s="8"/>
      <c r="Q75" s="7" t="str">
        <f t="shared" si="5"/>
        <v/>
      </c>
    </row>
    <row r="76" ht="14.25" customHeight="1" spans="1:17">
      <c r="A76" s="3" t="s">
        <v>48</v>
      </c>
      <c r="B76" s="4">
        <v>46156</v>
      </c>
      <c r="C76" s="4">
        <v>46248</v>
      </c>
      <c r="D76" s="5">
        <v>0.541666666666667</v>
      </c>
      <c r="E76" s="6">
        <f t="shared" si="3"/>
        <v>2026</v>
      </c>
      <c r="F76" s="6">
        <f ca="1" t="shared" si="4"/>
        <v>17</v>
      </c>
      <c r="G76" s="3" t="s">
        <v>26</v>
      </c>
      <c r="H76" s="3" t="s">
        <v>74</v>
      </c>
      <c r="I76" s="3" t="s">
        <v>147</v>
      </c>
      <c r="J76" s="3" t="s">
        <v>109</v>
      </c>
      <c r="K76" s="3" t="s">
        <v>52</v>
      </c>
      <c r="L76" s="7">
        <v>80000</v>
      </c>
      <c r="M76" s="3" t="s">
        <v>68</v>
      </c>
      <c r="N76" s="3" t="s">
        <v>24</v>
      </c>
      <c r="O76" s="7">
        <v>79200</v>
      </c>
      <c r="P76" s="8">
        <v>1</v>
      </c>
      <c r="Q76" s="7">
        <f t="shared" si="5"/>
        <v>79200</v>
      </c>
    </row>
    <row r="77" ht="14.25" hidden="1" customHeight="1" spans="1:17">
      <c r="A77" s="3" t="s">
        <v>130</v>
      </c>
      <c r="B77" s="4">
        <v>46170</v>
      </c>
      <c r="C77" s="4">
        <v>46242</v>
      </c>
      <c r="D77" s="5">
        <v>0.479166666666667</v>
      </c>
      <c r="E77" s="6">
        <f t="shared" si="3"/>
        <v>2026</v>
      </c>
      <c r="F77" s="6">
        <f ca="1" t="shared" si="4"/>
        <v>11</v>
      </c>
      <c r="G77" s="3" t="s">
        <v>26</v>
      </c>
      <c r="H77" s="3" t="s">
        <v>177</v>
      </c>
      <c r="I77" s="3" t="s">
        <v>132</v>
      </c>
      <c r="J77" s="3" t="s">
        <v>41</v>
      </c>
      <c r="K77" s="3" t="s">
        <v>67</v>
      </c>
      <c r="L77" s="7">
        <v>180000</v>
      </c>
      <c r="M77" s="3" t="s">
        <v>53</v>
      </c>
      <c r="N77" s="3" t="s">
        <v>47</v>
      </c>
      <c r="O77" s="7">
        <v>170800</v>
      </c>
      <c r="P77" s="8"/>
      <c r="Q77" s="7" t="str">
        <f t="shared" si="5"/>
        <v/>
      </c>
    </row>
    <row r="78" ht="14.25" hidden="1" customHeight="1" spans="1:17">
      <c r="A78" s="3" t="s">
        <v>48</v>
      </c>
      <c r="B78" s="4">
        <v>46089</v>
      </c>
      <c r="C78" s="4">
        <v>46240</v>
      </c>
      <c r="D78" s="5">
        <v>0.552083333333333</v>
      </c>
      <c r="E78" s="6">
        <f t="shared" si="3"/>
        <v>2026</v>
      </c>
      <c r="F78" s="6">
        <f ca="1" t="shared" si="4"/>
        <v>9</v>
      </c>
      <c r="G78" s="3" t="s">
        <v>18</v>
      </c>
      <c r="H78" s="3" t="s">
        <v>178</v>
      </c>
      <c r="I78" s="3" t="s">
        <v>50</v>
      </c>
      <c r="J78" s="3" t="s">
        <v>51</v>
      </c>
      <c r="K78" s="3" t="s">
        <v>67</v>
      </c>
      <c r="L78" s="7">
        <v>750000</v>
      </c>
      <c r="M78" s="3" t="s">
        <v>23</v>
      </c>
      <c r="N78" s="3" t="s">
        <v>179</v>
      </c>
      <c r="O78" s="7">
        <v>767200</v>
      </c>
      <c r="P78" s="8"/>
      <c r="Q78" s="7" t="str">
        <f t="shared" si="5"/>
        <v/>
      </c>
    </row>
    <row r="79" ht="14.25" hidden="1" customHeight="1" spans="1:17">
      <c r="A79" s="3" t="s">
        <v>125</v>
      </c>
      <c r="B79" s="4">
        <v>46117</v>
      </c>
      <c r="C79" s="4">
        <v>46237</v>
      </c>
      <c r="D79" s="5">
        <v>0.541666666666667</v>
      </c>
      <c r="E79" s="6">
        <f t="shared" si="3"/>
        <v>2026</v>
      </c>
      <c r="F79" s="6">
        <f ca="1" t="shared" si="4"/>
        <v>6</v>
      </c>
      <c r="G79" s="3" t="s">
        <v>26</v>
      </c>
      <c r="H79" s="3" t="s">
        <v>180</v>
      </c>
      <c r="I79" s="3" t="s">
        <v>127</v>
      </c>
      <c r="J79" s="3" t="s">
        <v>51</v>
      </c>
      <c r="K79" s="3" t="s">
        <v>71</v>
      </c>
      <c r="L79" s="7">
        <v>250000</v>
      </c>
      <c r="M79" s="3" t="s">
        <v>31</v>
      </c>
      <c r="N79" s="3" t="s">
        <v>148</v>
      </c>
      <c r="O79" s="7">
        <v>222100</v>
      </c>
      <c r="P79" s="8">
        <v>0.2</v>
      </c>
      <c r="Q79" s="7">
        <f t="shared" si="5"/>
        <v>44420</v>
      </c>
    </row>
    <row r="80" ht="14.25" hidden="1" customHeight="1" spans="1:17">
      <c r="A80" s="3" t="s">
        <v>73</v>
      </c>
      <c r="B80" s="4">
        <v>46157</v>
      </c>
      <c r="C80" s="4">
        <v>46236</v>
      </c>
      <c r="D80" s="5">
        <v>0.489583333333333</v>
      </c>
      <c r="E80" s="6">
        <f t="shared" si="3"/>
        <v>2026</v>
      </c>
      <c r="F80" s="6">
        <f ca="1" t="shared" si="4"/>
        <v>5</v>
      </c>
      <c r="G80" s="3" t="s">
        <v>18</v>
      </c>
      <c r="H80" s="3" t="s">
        <v>181</v>
      </c>
      <c r="I80" s="3" t="s">
        <v>84</v>
      </c>
      <c r="J80" s="3" t="s">
        <v>35</v>
      </c>
      <c r="K80" s="3" t="s">
        <v>22</v>
      </c>
      <c r="L80" s="7">
        <v>250000</v>
      </c>
      <c r="M80" s="3" t="s">
        <v>104</v>
      </c>
      <c r="N80" s="3" t="s">
        <v>24</v>
      </c>
      <c r="O80" s="7">
        <v>212600</v>
      </c>
      <c r="P80" s="8"/>
      <c r="Q80" s="7" t="str">
        <f t="shared" si="5"/>
        <v/>
      </c>
    </row>
    <row r="81" ht="14.25" hidden="1" customHeight="1" spans="1:17">
      <c r="A81" s="3" t="s">
        <v>25</v>
      </c>
      <c r="B81" s="4">
        <v>46115</v>
      </c>
      <c r="C81" s="4">
        <v>46232</v>
      </c>
      <c r="D81" s="5">
        <v>0.65625</v>
      </c>
      <c r="E81" s="6">
        <f t="shared" si="3"/>
        <v>2026</v>
      </c>
      <c r="F81" s="6">
        <f ca="1" t="shared" si="4"/>
        <v>1</v>
      </c>
      <c r="G81" s="3" t="s">
        <v>38</v>
      </c>
      <c r="H81" s="3" t="s">
        <v>182</v>
      </c>
      <c r="I81" s="3" t="s">
        <v>183</v>
      </c>
      <c r="J81" s="3" t="s">
        <v>35</v>
      </c>
      <c r="K81" s="3" t="s">
        <v>97</v>
      </c>
      <c r="L81" s="7">
        <v>500000</v>
      </c>
      <c r="M81" s="3" t="s">
        <v>31</v>
      </c>
      <c r="N81" s="3" t="s">
        <v>24</v>
      </c>
      <c r="O81" s="7">
        <v>523200</v>
      </c>
      <c r="P81" s="8"/>
      <c r="Q81" s="7" t="str">
        <f t="shared" si="5"/>
        <v/>
      </c>
    </row>
    <row r="82" ht="14.25" hidden="1" customHeight="1" spans="1:17">
      <c r="A82" s="3" t="s">
        <v>17</v>
      </c>
      <c r="B82" s="4">
        <v>46097</v>
      </c>
      <c r="C82" s="4">
        <v>46230</v>
      </c>
      <c r="D82" s="5">
        <v>0.510416666666667</v>
      </c>
      <c r="E82" s="6">
        <f t="shared" si="3"/>
        <v>2026</v>
      </c>
      <c r="F82" s="6">
        <f ca="1" t="shared" si="4"/>
        <v>-1</v>
      </c>
      <c r="G82" s="3" t="s">
        <v>18</v>
      </c>
      <c r="H82" s="3" t="s">
        <v>184</v>
      </c>
      <c r="I82" s="3" t="s">
        <v>88</v>
      </c>
      <c r="J82" s="3" t="s">
        <v>41</v>
      </c>
      <c r="K82" s="3" t="s">
        <v>98</v>
      </c>
      <c r="L82" s="7">
        <v>750000</v>
      </c>
      <c r="M82" s="3" t="s">
        <v>77</v>
      </c>
      <c r="N82" s="3" t="s">
        <v>24</v>
      </c>
      <c r="O82" s="7">
        <v>689000</v>
      </c>
      <c r="P82" s="8">
        <v>0.4</v>
      </c>
      <c r="Q82" s="7">
        <f t="shared" si="5"/>
        <v>275600</v>
      </c>
    </row>
    <row r="83" ht="14.25" customHeight="1" spans="1:17">
      <c r="A83" s="3" t="s">
        <v>17</v>
      </c>
      <c r="B83" s="4">
        <v>46159</v>
      </c>
      <c r="C83" s="4">
        <v>46229</v>
      </c>
      <c r="D83" s="5">
        <v>0.666666666666667</v>
      </c>
      <c r="E83" s="6">
        <f t="shared" si="3"/>
        <v>2026</v>
      </c>
      <c r="F83" s="6">
        <f ca="1" t="shared" si="4"/>
        <v>-2</v>
      </c>
      <c r="G83" s="3" t="s">
        <v>26</v>
      </c>
      <c r="H83" s="3" t="s">
        <v>185</v>
      </c>
      <c r="I83" s="3" t="s">
        <v>66</v>
      </c>
      <c r="J83" s="3" t="s">
        <v>21</v>
      </c>
      <c r="K83" s="3" t="s">
        <v>52</v>
      </c>
      <c r="L83" s="7">
        <v>1000000</v>
      </c>
      <c r="M83" s="3" t="s">
        <v>53</v>
      </c>
      <c r="N83" s="3" t="s">
        <v>78</v>
      </c>
      <c r="O83" s="7">
        <v>900600</v>
      </c>
      <c r="P83" s="8">
        <v>1</v>
      </c>
      <c r="Q83" s="7">
        <f t="shared" si="5"/>
        <v>900600</v>
      </c>
    </row>
    <row r="84" ht="14.25" hidden="1" customHeight="1" spans="1:17">
      <c r="A84" s="3" t="s">
        <v>25</v>
      </c>
      <c r="B84" s="4">
        <v>46067</v>
      </c>
      <c r="C84" s="4">
        <v>46227</v>
      </c>
      <c r="D84" s="5">
        <v>0.65625</v>
      </c>
      <c r="E84" s="6">
        <f t="shared" si="3"/>
        <v>2026</v>
      </c>
      <c r="F84" s="6">
        <f ca="1" t="shared" si="4"/>
        <v>-4</v>
      </c>
      <c r="G84" s="3" t="s">
        <v>26</v>
      </c>
      <c r="H84" s="3" t="s">
        <v>119</v>
      </c>
      <c r="I84" s="3" t="s">
        <v>186</v>
      </c>
      <c r="J84" s="3" t="s">
        <v>21</v>
      </c>
      <c r="K84" s="3" t="s">
        <v>76</v>
      </c>
      <c r="L84" s="7">
        <v>120000</v>
      </c>
      <c r="M84" s="3" t="s">
        <v>31</v>
      </c>
      <c r="N84" s="3" t="s">
        <v>57</v>
      </c>
      <c r="O84" s="7">
        <v>121500</v>
      </c>
      <c r="P84" s="8">
        <v>0.6</v>
      </c>
      <c r="Q84" s="7">
        <f t="shared" si="5"/>
        <v>72900</v>
      </c>
    </row>
    <row r="85" ht="14.25" customHeight="1" spans="1:17">
      <c r="A85" s="3" t="s">
        <v>73</v>
      </c>
      <c r="B85" s="4">
        <v>46106</v>
      </c>
      <c r="C85" s="4">
        <v>46226</v>
      </c>
      <c r="D85" s="5">
        <v>0.645833333333333</v>
      </c>
      <c r="E85" s="6">
        <f t="shared" si="3"/>
        <v>2026</v>
      </c>
      <c r="F85" s="6">
        <f ca="1" t="shared" si="4"/>
        <v>-5</v>
      </c>
      <c r="G85" s="3" t="s">
        <v>18</v>
      </c>
      <c r="H85" s="3" t="s">
        <v>187</v>
      </c>
      <c r="I85" s="3" t="s">
        <v>75</v>
      </c>
      <c r="J85" s="3" t="s">
        <v>113</v>
      </c>
      <c r="K85" s="3" t="s">
        <v>62</v>
      </c>
      <c r="L85" s="7">
        <v>1500000</v>
      </c>
      <c r="M85" s="3" t="s">
        <v>23</v>
      </c>
      <c r="N85" s="3" t="s">
        <v>47</v>
      </c>
      <c r="O85" s="7">
        <v>1464500</v>
      </c>
      <c r="P85" s="8">
        <v>1</v>
      </c>
      <c r="Q85" s="7">
        <f t="shared" si="5"/>
        <v>1464500</v>
      </c>
    </row>
    <row r="86" ht="14.25" customHeight="1" spans="1:17">
      <c r="A86" s="3" t="s">
        <v>73</v>
      </c>
      <c r="B86" s="4">
        <v>46076</v>
      </c>
      <c r="C86" s="4">
        <v>46225</v>
      </c>
      <c r="D86" s="5">
        <v>0.4375</v>
      </c>
      <c r="E86" s="6">
        <f t="shared" si="3"/>
        <v>2026</v>
      </c>
      <c r="F86" s="6">
        <f ca="1" t="shared" si="4"/>
        <v>-6</v>
      </c>
      <c r="G86" s="3" t="s">
        <v>18</v>
      </c>
      <c r="H86" s="3" t="s">
        <v>94</v>
      </c>
      <c r="I86" s="3" t="s">
        <v>90</v>
      </c>
      <c r="J86" s="3" t="s">
        <v>41</v>
      </c>
      <c r="K86" s="3" t="s">
        <v>52</v>
      </c>
      <c r="L86" s="7">
        <v>1500000</v>
      </c>
      <c r="M86" s="3" t="s">
        <v>37</v>
      </c>
      <c r="N86" s="3" t="s">
        <v>24</v>
      </c>
      <c r="O86" s="7">
        <v>1286800</v>
      </c>
      <c r="P86" s="8">
        <v>1</v>
      </c>
      <c r="Q86" s="7">
        <f t="shared" si="5"/>
        <v>1286800</v>
      </c>
    </row>
    <row r="87" ht="14.25" hidden="1" customHeight="1" spans="1:17">
      <c r="A87" s="3" t="s">
        <v>17</v>
      </c>
      <c r="B87" s="4">
        <v>46119</v>
      </c>
      <c r="C87" s="4">
        <v>46214</v>
      </c>
      <c r="D87" s="5">
        <v>0.635416666666667</v>
      </c>
      <c r="E87" s="6">
        <f t="shared" si="3"/>
        <v>2026</v>
      </c>
      <c r="F87" s="6">
        <f ca="1" t="shared" si="4"/>
        <v>-17</v>
      </c>
      <c r="G87" s="3" t="s">
        <v>26</v>
      </c>
      <c r="H87" s="3" t="s">
        <v>188</v>
      </c>
      <c r="I87" s="3" t="s">
        <v>20</v>
      </c>
      <c r="J87" s="3" t="s">
        <v>41</v>
      </c>
      <c r="K87" s="3" t="s">
        <v>102</v>
      </c>
      <c r="L87" s="7">
        <v>250000</v>
      </c>
      <c r="M87" s="3" t="s">
        <v>23</v>
      </c>
      <c r="N87" s="3" t="s">
        <v>47</v>
      </c>
      <c r="O87" s="7">
        <v>250900</v>
      </c>
      <c r="P87" s="8">
        <v>0.6</v>
      </c>
      <c r="Q87" s="7">
        <f t="shared" si="5"/>
        <v>150540</v>
      </c>
    </row>
    <row r="88" ht="14.25" hidden="1" customHeight="1" spans="1:17">
      <c r="A88" s="3" t="s">
        <v>48</v>
      </c>
      <c r="B88" s="4">
        <v>46152</v>
      </c>
      <c r="C88" s="4">
        <v>46209</v>
      </c>
      <c r="D88" s="5">
        <v>0.645833333333333</v>
      </c>
      <c r="E88" s="6">
        <f t="shared" si="3"/>
        <v>2026</v>
      </c>
      <c r="F88" s="6">
        <f ca="1" t="shared" si="4"/>
        <v>-22</v>
      </c>
      <c r="G88" s="3" t="s">
        <v>38</v>
      </c>
      <c r="H88" s="3" t="s">
        <v>99</v>
      </c>
      <c r="I88" s="3" t="s">
        <v>189</v>
      </c>
      <c r="J88" s="3" t="s">
        <v>51</v>
      </c>
      <c r="K88" s="3" t="s">
        <v>22</v>
      </c>
      <c r="L88" s="7">
        <v>500000</v>
      </c>
      <c r="M88" s="3" t="s">
        <v>31</v>
      </c>
      <c r="N88" s="3" t="s">
        <v>163</v>
      </c>
      <c r="O88" s="7">
        <v>495000</v>
      </c>
      <c r="P88" s="8"/>
      <c r="Q88" s="7" t="str">
        <f t="shared" si="5"/>
        <v/>
      </c>
    </row>
    <row r="89" ht="14.25" hidden="1" customHeight="1" spans="1:17">
      <c r="A89" s="3" t="s">
        <v>25</v>
      </c>
      <c r="B89" s="4">
        <v>46047</v>
      </c>
      <c r="C89" s="4">
        <v>46207</v>
      </c>
      <c r="D89" s="5">
        <v>0.479166666666667</v>
      </c>
      <c r="E89" s="6">
        <f t="shared" si="3"/>
        <v>2026</v>
      </c>
      <c r="F89" s="6">
        <f ca="1" t="shared" si="4"/>
        <v>-24</v>
      </c>
      <c r="G89" s="3" t="s">
        <v>18</v>
      </c>
      <c r="H89" s="3" t="s">
        <v>190</v>
      </c>
      <c r="I89" s="3" t="s">
        <v>191</v>
      </c>
      <c r="J89" s="3" t="s">
        <v>41</v>
      </c>
      <c r="K89" s="3" t="s">
        <v>98</v>
      </c>
      <c r="L89" s="7">
        <v>50000</v>
      </c>
      <c r="M89" s="3" t="s">
        <v>31</v>
      </c>
      <c r="N89" s="3" t="s">
        <v>24</v>
      </c>
      <c r="O89" s="7">
        <v>48100</v>
      </c>
      <c r="P89" s="8">
        <v>0.4</v>
      </c>
      <c r="Q89" s="7">
        <f t="shared" si="5"/>
        <v>19240</v>
      </c>
    </row>
    <row r="90" ht="14.25" hidden="1" customHeight="1" spans="1:17">
      <c r="A90" s="3" t="s">
        <v>192</v>
      </c>
      <c r="B90" s="4">
        <v>46074</v>
      </c>
      <c r="C90" s="4">
        <v>46205</v>
      </c>
      <c r="D90" s="5">
        <v>0.604166666666667</v>
      </c>
      <c r="E90" s="6">
        <f t="shared" si="3"/>
        <v>2026</v>
      </c>
      <c r="F90" s="6">
        <f ca="1" t="shared" si="4"/>
        <v>-26</v>
      </c>
      <c r="G90" s="3" t="s">
        <v>26</v>
      </c>
      <c r="H90" s="3" t="s">
        <v>193</v>
      </c>
      <c r="I90" s="3" t="s">
        <v>194</v>
      </c>
      <c r="J90" s="3" t="s">
        <v>21</v>
      </c>
      <c r="K90" s="3" t="s">
        <v>102</v>
      </c>
      <c r="L90" s="7">
        <v>120000</v>
      </c>
      <c r="M90" s="3" t="s">
        <v>31</v>
      </c>
      <c r="N90" s="3" t="s">
        <v>24</v>
      </c>
      <c r="O90" s="7">
        <v>104000</v>
      </c>
      <c r="P90" s="8">
        <v>0.6</v>
      </c>
      <c r="Q90" s="7">
        <f t="shared" si="5"/>
        <v>62400</v>
      </c>
    </row>
    <row r="91" ht="14.25" customHeight="1" spans="1:17">
      <c r="A91" s="3" t="s">
        <v>130</v>
      </c>
      <c r="B91" s="4">
        <v>46098</v>
      </c>
      <c r="C91" s="4">
        <v>46205</v>
      </c>
      <c r="D91" s="5">
        <v>0.5</v>
      </c>
      <c r="E91" s="6">
        <f t="shared" si="3"/>
        <v>2026</v>
      </c>
      <c r="F91" s="6">
        <f ca="1" t="shared" si="4"/>
        <v>-26</v>
      </c>
      <c r="G91" s="3" t="s">
        <v>18</v>
      </c>
      <c r="H91" s="3" t="s">
        <v>195</v>
      </c>
      <c r="I91" s="3" t="s">
        <v>196</v>
      </c>
      <c r="J91" s="3" t="s">
        <v>41</v>
      </c>
      <c r="K91" s="3" t="s">
        <v>145</v>
      </c>
      <c r="L91" s="7">
        <v>50000</v>
      </c>
      <c r="M91" s="3" t="s">
        <v>23</v>
      </c>
      <c r="N91" s="3" t="s">
        <v>24</v>
      </c>
      <c r="O91" s="7">
        <v>44900</v>
      </c>
      <c r="P91" s="8">
        <v>0.8</v>
      </c>
      <c r="Q91" s="7">
        <f t="shared" si="5"/>
        <v>35920</v>
      </c>
    </row>
    <row r="92" ht="14.25" hidden="1" customHeight="1" spans="1:17">
      <c r="A92" s="3" t="s">
        <v>25</v>
      </c>
      <c r="B92" s="4">
        <v>46059</v>
      </c>
      <c r="C92" s="4">
        <v>46203</v>
      </c>
      <c r="D92" s="5">
        <v>0.479166666666667</v>
      </c>
      <c r="E92" s="6">
        <f t="shared" si="3"/>
        <v>2026</v>
      </c>
      <c r="F92" s="6">
        <f ca="1" t="shared" si="4"/>
        <v>-28</v>
      </c>
      <c r="G92" s="3" t="s">
        <v>26</v>
      </c>
      <c r="H92" s="3" t="s">
        <v>193</v>
      </c>
      <c r="I92" s="3" t="s">
        <v>168</v>
      </c>
      <c r="J92" s="3" t="s">
        <v>51</v>
      </c>
      <c r="K92" s="3" t="s">
        <v>67</v>
      </c>
      <c r="L92" s="7">
        <v>50000</v>
      </c>
      <c r="M92" s="3" t="s">
        <v>23</v>
      </c>
      <c r="N92" s="3" t="s">
        <v>128</v>
      </c>
      <c r="O92" s="7">
        <v>48900</v>
      </c>
      <c r="P92" s="8"/>
      <c r="Q92" s="7" t="str">
        <f t="shared" si="5"/>
        <v/>
      </c>
    </row>
    <row r="93" ht="14.25" customHeight="1" spans="1:17">
      <c r="A93" s="3" t="s">
        <v>25</v>
      </c>
      <c r="B93" s="4">
        <v>46031</v>
      </c>
      <c r="C93" s="4">
        <v>46200</v>
      </c>
      <c r="D93" s="5">
        <v>0.583333333333333</v>
      </c>
      <c r="E93" s="6">
        <f t="shared" si="3"/>
        <v>2026</v>
      </c>
      <c r="F93" s="6">
        <f ca="1" t="shared" si="4"/>
        <v>-31</v>
      </c>
      <c r="G93" s="3" t="s">
        <v>38</v>
      </c>
      <c r="H93" s="3" t="s">
        <v>197</v>
      </c>
      <c r="I93" s="3" t="s">
        <v>70</v>
      </c>
      <c r="J93" s="3" t="s">
        <v>41</v>
      </c>
      <c r="K93" s="3" t="s">
        <v>145</v>
      </c>
      <c r="L93" s="7">
        <v>120000</v>
      </c>
      <c r="M93" s="3" t="s">
        <v>31</v>
      </c>
      <c r="N93" s="3" t="s">
        <v>24</v>
      </c>
      <c r="O93" s="7">
        <v>123900</v>
      </c>
      <c r="P93" s="8">
        <v>0.8</v>
      </c>
      <c r="Q93" s="7">
        <f t="shared" si="5"/>
        <v>99120</v>
      </c>
    </row>
    <row r="94" ht="14.25" hidden="1" customHeight="1" spans="1:17">
      <c r="A94" s="3" t="s">
        <v>17</v>
      </c>
      <c r="B94" s="4">
        <v>46111</v>
      </c>
      <c r="C94" s="4">
        <v>46197</v>
      </c>
      <c r="D94" s="5">
        <v>0.552083333333333</v>
      </c>
      <c r="E94" s="6">
        <f t="shared" si="3"/>
        <v>2026</v>
      </c>
      <c r="F94" s="6">
        <f ca="1" t="shared" si="4"/>
        <v>-34</v>
      </c>
      <c r="G94" s="3" t="s">
        <v>26</v>
      </c>
      <c r="H94" s="3" t="s">
        <v>198</v>
      </c>
      <c r="I94" s="3" t="s">
        <v>199</v>
      </c>
      <c r="J94" s="3" t="s">
        <v>51</v>
      </c>
      <c r="K94" s="3" t="s">
        <v>64</v>
      </c>
      <c r="L94" s="7">
        <v>750000</v>
      </c>
      <c r="M94" s="3" t="s">
        <v>101</v>
      </c>
      <c r="N94" s="3" t="s">
        <v>24</v>
      </c>
      <c r="O94" s="7">
        <v>643000</v>
      </c>
      <c r="P94" s="8">
        <v>0.4</v>
      </c>
      <c r="Q94" s="7">
        <f t="shared" si="5"/>
        <v>257200</v>
      </c>
    </row>
    <row r="95" ht="14.25" hidden="1" customHeight="1" spans="1:17">
      <c r="A95" s="3" t="s">
        <v>79</v>
      </c>
      <c r="B95" s="4">
        <v>46167</v>
      </c>
      <c r="C95" s="4">
        <v>46196</v>
      </c>
      <c r="D95" s="5">
        <v>0.510416666666667</v>
      </c>
      <c r="E95" s="6">
        <f t="shared" si="3"/>
        <v>2026</v>
      </c>
      <c r="F95" s="6">
        <f ca="1" t="shared" si="4"/>
        <v>-35</v>
      </c>
      <c r="G95" s="3" t="s">
        <v>18</v>
      </c>
      <c r="H95" s="3" t="s">
        <v>200</v>
      </c>
      <c r="I95" s="3" t="s">
        <v>201</v>
      </c>
      <c r="J95" s="3" t="s">
        <v>41</v>
      </c>
      <c r="K95" s="3" t="s">
        <v>67</v>
      </c>
      <c r="L95" s="7">
        <v>1500000</v>
      </c>
      <c r="M95" s="3" t="s">
        <v>31</v>
      </c>
      <c r="N95" s="3" t="s">
        <v>57</v>
      </c>
      <c r="O95" s="7">
        <v>1531700</v>
      </c>
      <c r="P95" s="8"/>
      <c r="Q95" s="7" t="str">
        <f t="shared" si="5"/>
        <v/>
      </c>
    </row>
    <row r="96" ht="14.25" hidden="1" customHeight="1" spans="1:17">
      <c r="A96" s="3" t="s">
        <v>202</v>
      </c>
      <c r="B96" s="4">
        <v>46033</v>
      </c>
      <c r="C96" s="4">
        <v>46196</v>
      </c>
      <c r="D96" s="5">
        <v>0.645833333333333</v>
      </c>
      <c r="E96" s="6">
        <f t="shared" si="3"/>
        <v>2026</v>
      </c>
      <c r="F96" s="6">
        <f ca="1" t="shared" si="4"/>
        <v>-35</v>
      </c>
      <c r="G96" s="3" t="s">
        <v>26</v>
      </c>
      <c r="H96" s="3" t="s">
        <v>119</v>
      </c>
      <c r="I96" s="3" t="s">
        <v>203</v>
      </c>
      <c r="J96" s="3" t="s">
        <v>109</v>
      </c>
      <c r="K96" s="3" t="s">
        <v>98</v>
      </c>
      <c r="L96" s="7">
        <v>180000</v>
      </c>
      <c r="M96" s="3" t="s">
        <v>42</v>
      </c>
      <c r="N96" s="3" t="s">
        <v>24</v>
      </c>
      <c r="O96" s="7">
        <v>168100</v>
      </c>
      <c r="P96" s="8">
        <v>0.4</v>
      </c>
      <c r="Q96" s="7">
        <f t="shared" si="5"/>
        <v>67240</v>
      </c>
    </row>
    <row r="97" ht="14.25" hidden="1" customHeight="1" spans="1:17">
      <c r="A97" s="3" t="s">
        <v>48</v>
      </c>
      <c r="B97" s="4">
        <v>46141</v>
      </c>
      <c r="C97" s="4">
        <v>46196</v>
      </c>
      <c r="D97" s="5">
        <v>0.65625</v>
      </c>
      <c r="E97" s="6">
        <f t="shared" si="3"/>
        <v>2026</v>
      </c>
      <c r="F97" s="6">
        <f ca="1" t="shared" si="4"/>
        <v>-35</v>
      </c>
      <c r="G97" s="3" t="s">
        <v>26</v>
      </c>
      <c r="H97" s="3" t="s">
        <v>80</v>
      </c>
      <c r="I97" s="3" t="s">
        <v>139</v>
      </c>
      <c r="J97" s="3" t="s">
        <v>51</v>
      </c>
      <c r="K97" s="3" t="s">
        <v>71</v>
      </c>
      <c r="L97" s="7">
        <v>1000000</v>
      </c>
      <c r="M97" s="3" t="s">
        <v>31</v>
      </c>
      <c r="N97" s="3" t="s">
        <v>24</v>
      </c>
      <c r="O97" s="7">
        <v>1050000</v>
      </c>
      <c r="P97" s="8">
        <v>0.2</v>
      </c>
      <c r="Q97" s="7">
        <f t="shared" si="5"/>
        <v>210000</v>
      </c>
    </row>
    <row r="98" ht="14.25" customHeight="1" spans="1:17">
      <c r="A98" s="3" t="s">
        <v>48</v>
      </c>
      <c r="B98" s="4">
        <v>46075</v>
      </c>
      <c r="C98" s="4">
        <v>46196</v>
      </c>
      <c r="D98" s="5">
        <v>0.614583333333333</v>
      </c>
      <c r="E98" s="6">
        <f t="shared" si="3"/>
        <v>2026</v>
      </c>
      <c r="F98" s="6">
        <f ca="1" t="shared" si="4"/>
        <v>-35</v>
      </c>
      <c r="G98" s="3" t="s">
        <v>18</v>
      </c>
      <c r="H98" s="3" t="s">
        <v>204</v>
      </c>
      <c r="I98" s="3" t="s">
        <v>147</v>
      </c>
      <c r="J98" s="3" t="s">
        <v>41</v>
      </c>
      <c r="K98" s="3" t="s">
        <v>30</v>
      </c>
      <c r="L98" s="7">
        <v>750000</v>
      </c>
      <c r="M98" s="3" t="s">
        <v>101</v>
      </c>
      <c r="N98" s="3" t="s">
        <v>24</v>
      </c>
      <c r="O98" s="7">
        <v>786300</v>
      </c>
      <c r="P98" s="8">
        <v>0.8</v>
      </c>
      <c r="Q98" s="7">
        <f t="shared" si="5"/>
        <v>629040</v>
      </c>
    </row>
    <row r="99" ht="14.25" hidden="1" customHeight="1" spans="1:17">
      <c r="A99" s="3" t="s">
        <v>17</v>
      </c>
      <c r="B99" s="4">
        <v>46064</v>
      </c>
      <c r="C99" s="4">
        <v>46195</v>
      </c>
      <c r="D99" s="5">
        <v>0.489583333333333</v>
      </c>
      <c r="E99" s="6">
        <f t="shared" si="3"/>
        <v>2026</v>
      </c>
      <c r="F99" s="6">
        <f ca="1" t="shared" si="4"/>
        <v>-36</v>
      </c>
      <c r="G99" s="3" t="s">
        <v>18</v>
      </c>
      <c r="H99" s="3" t="s">
        <v>205</v>
      </c>
      <c r="I99" s="3" t="s">
        <v>206</v>
      </c>
      <c r="J99" s="3" t="s">
        <v>51</v>
      </c>
      <c r="K99" s="3" t="s">
        <v>22</v>
      </c>
      <c r="L99" s="7">
        <v>500000</v>
      </c>
      <c r="M99" s="3" t="s">
        <v>53</v>
      </c>
      <c r="N99" s="3" t="s">
        <v>24</v>
      </c>
      <c r="O99" s="7">
        <v>498800</v>
      </c>
      <c r="P99" s="8"/>
      <c r="Q99" s="7" t="str">
        <f t="shared" si="5"/>
        <v/>
      </c>
    </row>
    <row r="100" ht="14.25" hidden="1" customHeight="1" spans="1:17">
      <c r="A100" s="3" t="s">
        <v>25</v>
      </c>
      <c r="B100" s="4">
        <v>46115</v>
      </c>
      <c r="C100" s="4">
        <v>46195</v>
      </c>
      <c r="D100" s="5">
        <v>0.65625</v>
      </c>
      <c r="E100" s="6">
        <f t="shared" si="3"/>
        <v>2026</v>
      </c>
      <c r="F100" s="6">
        <f ca="1" t="shared" si="4"/>
        <v>-36</v>
      </c>
      <c r="G100" s="3" t="s">
        <v>18</v>
      </c>
      <c r="H100" s="3" t="s">
        <v>131</v>
      </c>
      <c r="I100" s="3" t="s">
        <v>207</v>
      </c>
      <c r="J100" s="3" t="s">
        <v>21</v>
      </c>
      <c r="K100" s="3" t="s">
        <v>36</v>
      </c>
      <c r="L100" s="7">
        <v>350000</v>
      </c>
      <c r="M100" s="3" t="s">
        <v>31</v>
      </c>
      <c r="N100" s="3" t="s">
        <v>24</v>
      </c>
      <c r="O100" s="7">
        <v>329900</v>
      </c>
      <c r="P100" s="8">
        <v>0.2</v>
      </c>
      <c r="Q100" s="7">
        <f t="shared" si="5"/>
        <v>65980</v>
      </c>
    </row>
    <row r="101" ht="14.25" hidden="1" customHeight="1" spans="1:17">
      <c r="A101" s="3" t="s">
        <v>25</v>
      </c>
      <c r="B101" s="4">
        <v>46113</v>
      </c>
      <c r="C101" s="4">
        <v>46190</v>
      </c>
      <c r="D101" s="5">
        <v>0.53125</v>
      </c>
      <c r="E101" s="6">
        <f t="shared" si="3"/>
        <v>2026</v>
      </c>
      <c r="F101" s="6">
        <f ca="1" t="shared" si="4"/>
        <v>-41</v>
      </c>
      <c r="G101" s="3" t="s">
        <v>26</v>
      </c>
      <c r="H101" s="3" t="s">
        <v>119</v>
      </c>
      <c r="I101" s="3" t="s">
        <v>34</v>
      </c>
      <c r="J101" s="3" t="s">
        <v>51</v>
      </c>
      <c r="K101" s="3" t="s">
        <v>67</v>
      </c>
      <c r="L101" s="7">
        <v>350000</v>
      </c>
      <c r="M101" s="3" t="s">
        <v>101</v>
      </c>
      <c r="N101" s="3" t="s">
        <v>72</v>
      </c>
      <c r="O101" s="7">
        <v>351200</v>
      </c>
      <c r="P101" s="8"/>
      <c r="Q101" s="7" t="str">
        <f t="shared" si="5"/>
        <v/>
      </c>
    </row>
    <row r="102" ht="14.25" hidden="1" customHeight="1" spans="1:17">
      <c r="A102" s="3" t="s">
        <v>208</v>
      </c>
      <c r="B102" s="4">
        <v>46155</v>
      </c>
      <c r="C102" s="4">
        <v>46188</v>
      </c>
      <c r="D102" s="5">
        <v>0.4375</v>
      </c>
      <c r="E102" s="6">
        <f t="shared" si="3"/>
        <v>2026</v>
      </c>
      <c r="F102" s="6">
        <f ca="1" t="shared" si="4"/>
        <v>-43</v>
      </c>
      <c r="G102" s="3" t="s">
        <v>26</v>
      </c>
      <c r="H102" s="3" t="s">
        <v>83</v>
      </c>
      <c r="I102" s="3" t="s">
        <v>209</v>
      </c>
      <c r="J102" s="3" t="s">
        <v>41</v>
      </c>
      <c r="K102" s="3" t="s">
        <v>76</v>
      </c>
      <c r="L102" s="7">
        <v>350000</v>
      </c>
      <c r="M102" s="3" t="s">
        <v>31</v>
      </c>
      <c r="N102" s="3" t="s">
        <v>163</v>
      </c>
      <c r="O102" s="7">
        <v>325500</v>
      </c>
      <c r="P102" s="8">
        <v>0.6</v>
      </c>
      <c r="Q102" s="7">
        <f t="shared" si="5"/>
        <v>195300</v>
      </c>
    </row>
    <row r="103" ht="14.25" hidden="1" customHeight="1" spans="1:17">
      <c r="A103" s="3" t="s">
        <v>17</v>
      </c>
      <c r="B103" s="4">
        <v>46103</v>
      </c>
      <c r="C103" s="4">
        <v>46184</v>
      </c>
      <c r="D103" s="5">
        <v>0.5</v>
      </c>
      <c r="E103" s="6">
        <f t="shared" si="3"/>
        <v>2026</v>
      </c>
      <c r="F103" s="6">
        <f ca="1" t="shared" si="4"/>
        <v>-47</v>
      </c>
      <c r="G103" s="3" t="s">
        <v>18</v>
      </c>
      <c r="H103" s="3" t="s">
        <v>210</v>
      </c>
      <c r="I103" s="3" t="s">
        <v>115</v>
      </c>
      <c r="J103" s="3" t="s">
        <v>51</v>
      </c>
      <c r="K103" s="3" t="s">
        <v>22</v>
      </c>
      <c r="L103" s="7">
        <v>50000</v>
      </c>
      <c r="M103" s="3" t="s">
        <v>23</v>
      </c>
      <c r="N103" s="3" t="s">
        <v>24</v>
      </c>
      <c r="O103" s="7">
        <v>50500</v>
      </c>
      <c r="P103" s="8"/>
      <c r="Q103" s="7" t="str">
        <f t="shared" si="5"/>
        <v/>
      </c>
    </row>
    <row r="104" ht="14.25" hidden="1" customHeight="1" spans="1:17">
      <c r="A104" s="3" t="s">
        <v>25</v>
      </c>
      <c r="B104" s="4">
        <v>46054</v>
      </c>
      <c r="C104" s="4">
        <v>46182</v>
      </c>
      <c r="D104" s="5">
        <v>0.427083333333333</v>
      </c>
      <c r="E104" s="6">
        <f t="shared" si="3"/>
        <v>2026</v>
      </c>
      <c r="F104" s="6">
        <f ca="1" t="shared" si="4"/>
        <v>-49</v>
      </c>
      <c r="G104" s="3" t="s">
        <v>26</v>
      </c>
      <c r="H104" s="3" t="s">
        <v>119</v>
      </c>
      <c r="I104" s="3" t="s">
        <v>34</v>
      </c>
      <c r="J104" s="3" t="s">
        <v>41</v>
      </c>
      <c r="K104" s="3" t="s">
        <v>76</v>
      </c>
      <c r="L104" s="7">
        <v>350000</v>
      </c>
      <c r="M104" s="3" t="s">
        <v>104</v>
      </c>
      <c r="N104" s="3" t="s">
        <v>163</v>
      </c>
      <c r="O104" s="7">
        <v>338500</v>
      </c>
      <c r="P104" s="8">
        <v>0.6</v>
      </c>
      <c r="Q104" s="7">
        <f t="shared" si="5"/>
        <v>203100</v>
      </c>
    </row>
    <row r="105" ht="14.25" hidden="1" customHeight="1" spans="1:17">
      <c r="A105" s="3" t="s">
        <v>17</v>
      </c>
      <c r="B105" s="4">
        <v>46045</v>
      </c>
      <c r="C105" s="4">
        <v>46182</v>
      </c>
      <c r="D105" s="5">
        <v>0.53125</v>
      </c>
      <c r="E105" s="6">
        <f t="shared" si="3"/>
        <v>2026</v>
      </c>
      <c r="F105" s="6">
        <f ca="1" t="shared" si="4"/>
        <v>-49</v>
      </c>
      <c r="G105" s="3" t="s">
        <v>18</v>
      </c>
      <c r="H105" s="3" t="s">
        <v>205</v>
      </c>
      <c r="I105" s="3" t="s">
        <v>118</v>
      </c>
      <c r="J105" s="3" t="s">
        <v>41</v>
      </c>
      <c r="K105" s="3" t="s">
        <v>22</v>
      </c>
      <c r="L105" s="7">
        <v>250000</v>
      </c>
      <c r="M105" s="3" t="s">
        <v>60</v>
      </c>
      <c r="N105" s="3" t="s">
        <v>32</v>
      </c>
      <c r="O105" s="7">
        <v>213100</v>
      </c>
      <c r="P105" s="8"/>
      <c r="Q105" s="7" t="str">
        <f t="shared" si="5"/>
        <v/>
      </c>
    </row>
    <row r="106" ht="14.25" hidden="1" customHeight="1" spans="1:17">
      <c r="A106" s="3" t="s">
        <v>25</v>
      </c>
      <c r="B106" s="4">
        <v>46107</v>
      </c>
      <c r="C106" s="4">
        <v>46181</v>
      </c>
      <c r="D106" s="5">
        <v>0.5625</v>
      </c>
      <c r="E106" s="6">
        <f t="shared" si="3"/>
        <v>2026</v>
      </c>
      <c r="F106" s="6">
        <f ca="1" t="shared" si="4"/>
        <v>-50</v>
      </c>
      <c r="G106" s="3" t="s">
        <v>26</v>
      </c>
      <c r="H106" s="3" t="s">
        <v>211</v>
      </c>
      <c r="I106" s="3" t="s">
        <v>212</v>
      </c>
      <c r="J106" s="3" t="s">
        <v>21</v>
      </c>
      <c r="K106" s="3" t="s">
        <v>36</v>
      </c>
      <c r="L106" s="7">
        <v>250000</v>
      </c>
      <c r="M106" s="3" t="s">
        <v>104</v>
      </c>
      <c r="N106" s="3" t="s">
        <v>78</v>
      </c>
      <c r="O106" s="7">
        <v>215400</v>
      </c>
      <c r="P106" s="8">
        <v>0.2</v>
      </c>
      <c r="Q106" s="7">
        <f t="shared" si="5"/>
        <v>43080</v>
      </c>
    </row>
    <row r="107" ht="14.25" hidden="1" customHeight="1" spans="1:17">
      <c r="A107" s="3" t="s">
        <v>25</v>
      </c>
      <c r="B107" s="4">
        <v>46109</v>
      </c>
      <c r="C107" s="4">
        <v>46181</v>
      </c>
      <c r="D107" s="5">
        <v>0.510416666666667</v>
      </c>
      <c r="E107" s="6">
        <f t="shared" si="3"/>
        <v>2026</v>
      </c>
      <c r="F107" s="6">
        <f ca="1" t="shared" si="4"/>
        <v>-50</v>
      </c>
      <c r="G107" s="3" t="s">
        <v>18</v>
      </c>
      <c r="H107" s="3" t="s">
        <v>213</v>
      </c>
      <c r="I107" s="3" t="s">
        <v>92</v>
      </c>
      <c r="J107" s="3" t="s">
        <v>35</v>
      </c>
      <c r="K107" s="3" t="s">
        <v>64</v>
      </c>
      <c r="L107" s="7">
        <v>50000</v>
      </c>
      <c r="M107" s="3" t="s">
        <v>31</v>
      </c>
      <c r="N107" s="3" t="s">
        <v>72</v>
      </c>
      <c r="O107" s="7">
        <v>47200</v>
      </c>
      <c r="P107" s="8">
        <v>0.4</v>
      </c>
      <c r="Q107" s="7">
        <f t="shared" si="5"/>
        <v>18880</v>
      </c>
    </row>
    <row r="108" ht="14.25" hidden="1" customHeight="1" spans="1:17">
      <c r="A108" s="3" t="s">
        <v>17</v>
      </c>
      <c r="B108" s="4">
        <v>46061</v>
      </c>
      <c r="C108" s="4">
        <v>46180</v>
      </c>
      <c r="D108" s="5">
        <v>0.4375</v>
      </c>
      <c r="E108" s="6">
        <f t="shared" si="3"/>
        <v>2026</v>
      </c>
      <c r="F108" s="6">
        <f ca="1" t="shared" si="4"/>
        <v>-51</v>
      </c>
      <c r="G108" s="3" t="s">
        <v>26</v>
      </c>
      <c r="H108" s="3" t="s">
        <v>171</v>
      </c>
      <c r="I108" s="3" t="s">
        <v>40</v>
      </c>
      <c r="J108" s="3" t="s">
        <v>21</v>
      </c>
      <c r="K108" s="3" t="s">
        <v>22</v>
      </c>
      <c r="L108" s="7">
        <v>750000</v>
      </c>
      <c r="M108" s="3" t="s">
        <v>42</v>
      </c>
      <c r="N108" s="3" t="s">
        <v>57</v>
      </c>
      <c r="O108" s="7">
        <v>720100</v>
      </c>
      <c r="P108" s="8"/>
      <c r="Q108" s="7" t="str">
        <f t="shared" si="5"/>
        <v/>
      </c>
    </row>
    <row r="109" ht="14.25" hidden="1" customHeight="1" spans="1:17">
      <c r="A109" s="3" t="s">
        <v>25</v>
      </c>
      <c r="B109" s="4">
        <v>46106</v>
      </c>
      <c r="C109" s="4">
        <v>46179</v>
      </c>
      <c r="D109" s="5">
        <v>0.489583333333333</v>
      </c>
      <c r="E109" s="6">
        <f t="shared" si="3"/>
        <v>2026</v>
      </c>
      <c r="F109" s="6">
        <f ca="1" t="shared" si="4"/>
        <v>-52</v>
      </c>
      <c r="G109" s="3" t="s">
        <v>18</v>
      </c>
      <c r="H109" s="3" t="s">
        <v>178</v>
      </c>
      <c r="I109" s="3" t="s">
        <v>214</v>
      </c>
      <c r="J109" s="3" t="s">
        <v>51</v>
      </c>
      <c r="K109" s="3" t="s">
        <v>215</v>
      </c>
      <c r="L109" s="7">
        <v>350000</v>
      </c>
      <c r="M109" s="3" t="s">
        <v>42</v>
      </c>
      <c r="N109" s="3" t="s">
        <v>24</v>
      </c>
      <c r="O109" s="7">
        <v>366900</v>
      </c>
      <c r="P109" s="8"/>
      <c r="Q109" s="7" t="str">
        <f t="shared" si="5"/>
        <v/>
      </c>
    </row>
    <row r="110" ht="14.25" customHeight="1" spans="1:17">
      <c r="A110" s="3" t="s">
        <v>216</v>
      </c>
      <c r="B110" s="4">
        <v>46099</v>
      </c>
      <c r="C110" s="4">
        <v>46178</v>
      </c>
      <c r="D110" s="5">
        <v>0.614583333333333</v>
      </c>
      <c r="E110" s="6">
        <f t="shared" si="3"/>
        <v>2026</v>
      </c>
      <c r="F110" s="6">
        <f ca="1" t="shared" si="4"/>
        <v>-53</v>
      </c>
      <c r="G110" s="3" t="s">
        <v>18</v>
      </c>
      <c r="H110" s="3" t="s">
        <v>217</v>
      </c>
      <c r="I110" s="3" t="s">
        <v>218</v>
      </c>
      <c r="J110" s="3" t="s">
        <v>35</v>
      </c>
      <c r="K110" s="3" t="s">
        <v>62</v>
      </c>
      <c r="L110" s="7">
        <v>80000</v>
      </c>
      <c r="M110" s="3" t="s">
        <v>56</v>
      </c>
      <c r="N110" s="3" t="s">
        <v>24</v>
      </c>
      <c r="O110" s="7">
        <v>76300</v>
      </c>
      <c r="P110" s="8">
        <v>1</v>
      </c>
      <c r="Q110" s="7">
        <f t="shared" si="5"/>
        <v>76300</v>
      </c>
    </row>
    <row r="111" ht="14.25" customHeight="1" spans="1:17">
      <c r="A111" s="3" t="s">
        <v>25</v>
      </c>
      <c r="B111" s="4">
        <v>46073</v>
      </c>
      <c r="C111" s="4">
        <v>46177</v>
      </c>
      <c r="D111" s="5">
        <v>0.53125</v>
      </c>
      <c r="E111" s="6">
        <f t="shared" si="3"/>
        <v>2026</v>
      </c>
      <c r="F111" s="6">
        <f ca="1" t="shared" si="4"/>
        <v>-54</v>
      </c>
      <c r="G111" s="3" t="s">
        <v>18</v>
      </c>
      <c r="H111" s="3" t="s">
        <v>219</v>
      </c>
      <c r="I111" s="3" t="s">
        <v>172</v>
      </c>
      <c r="J111" s="3" t="s">
        <v>35</v>
      </c>
      <c r="K111" s="3" t="s">
        <v>30</v>
      </c>
      <c r="L111" s="7">
        <v>350000</v>
      </c>
      <c r="M111" s="3" t="s">
        <v>31</v>
      </c>
      <c r="N111" s="3" t="s">
        <v>24</v>
      </c>
      <c r="O111" s="7">
        <v>358000</v>
      </c>
      <c r="P111" s="8">
        <v>0.8</v>
      </c>
      <c r="Q111" s="7">
        <f t="shared" si="5"/>
        <v>286400</v>
      </c>
    </row>
    <row r="112" ht="14.25" hidden="1" customHeight="1" spans="1:17">
      <c r="A112" s="3" t="s">
        <v>17</v>
      </c>
      <c r="B112" s="4">
        <v>46104</v>
      </c>
      <c r="C112" s="4">
        <v>46174</v>
      </c>
      <c r="D112" s="5">
        <v>0.489583333333333</v>
      </c>
      <c r="E112" s="6">
        <f t="shared" si="3"/>
        <v>2026</v>
      </c>
      <c r="F112" s="6">
        <f ca="1" t="shared" si="4"/>
        <v>-57</v>
      </c>
      <c r="G112" s="3" t="s">
        <v>18</v>
      </c>
      <c r="H112" s="3" t="s">
        <v>220</v>
      </c>
      <c r="I112" s="3" t="s">
        <v>20</v>
      </c>
      <c r="J112" s="3" t="s">
        <v>51</v>
      </c>
      <c r="K112" s="3" t="s">
        <v>36</v>
      </c>
      <c r="L112" s="7">
        <v>180000</v>
      </c>
      <c r="M112" s="3" t="s">
        <v>23</v>
      </c>
      <c r="N112" s="3" t="s">
        <v>24</v>
      </c>
      <c r="O112" s="7">
        <v>173200</v>
      </c>
      <c r="P112" s="8">
        <v>0.2</v>
      </c>
      <c r="Q112" s="7">
        <f t="shared" si="5"/>
        <v>34640</v>
      </c>
    </row>
    <row r="113" ht="14.25" customHeight="1" spans="1:17">
      <c r="A113" s="3" t="s">
        <v>25</v>
      </c>
      <c r="B113" s="4">
        <v>46114</v>
      </c>
      <c r="C113" s="4">
        <v>46167</v>
      </c>
      <c r="D113" s="5">
        <v>0.645833333333333</v>
      </c>
      <c r="E113" s="6">
        <f t="shared" si="3"/>
        <v>2026</v>
      </c>
      <c r="F113" s="6">
        <f ca="1" t="shared" si="4"/>
        <v>-64</v>
      </c>
      <c r="G113" s="3" t="s">
        <v>18</v>
      </c>
      <c r="H113" s="3" t="s">
        <v>173</v>
      </c>
      <c r="I113" s="3" t="s">
        <v>172</v>
      </c>
      <c r="J113" s="3" t="s">
        <v>51</v>
      </c>
      <c r="K113" s="3" t="s">
        <v>145</v>
      </c>
      <c r="L113" s="7">
        <v>1500000</v>
      </c>
      <c r="M113" s="3" t="s">
        <v>31</v>
      </c>
      <c r="N113" s="3" t="s">
        <v>24</v>
      </c>
      <c r="O113" s="7">
        <v>1333200</v>
      </c>
      <c r="P113" s="8">
        <v>0.8</v>
      </c>
      <c r="Q113" s="7">
        <f t="shared" si="5"/>
        <v>1066560</v>
      </c>
    </row>
    <row r="114" ht="14.25" hidden="1" customHeight="1" spans="1:17">
      <c r="A114" s="3" t="s">
        <v>25</v>
      </c>
      <c r="B114" s="4">
        <v>46033</v>
      </c>
      <c r="C114" s="4">
        <v>46163</v>
      </c>
      <c r="D114" s="5">
        <v>0.59375</v>
      </c>
      <c r="E114" s="6">
        <f t="shared" si="3"/>
        <v>2026</v>
      </c>
      <c r="F114" s="6">
        <f ca="1" t="shared" si="4"/>
        <v>-68</v>
      </c>
      <c r="G114" s="3" t="s">
        <v>26</v>
      </c>
      <c r="H114" s="3" t="s">
        <v>171</v>
      </c>
      <c r="I114" s="3" t="s">
        <v>59</v>
      </c>
      <c r="J114" s="3" t="s">
        <v>41</v>
      </c>
      <c r="K114" s="3" t="s">
        <v>46</v>
      </c>
      <c r="L114" s="7">
        <v>350000</v>
      </c>
      <c r="M114" s="3" t="s">
        <v>42</v>
      </c>
      <c r="N114" s="3" t="s">
        <v>24</v>
      </c>
      <c r="O114" s="7">
        <v>357400</v>
      </c>
      <c r="P114" s="8"/>
      <c r="Q114" s="7" t="str">
        <f t="shared" si="5"/>
        <v/>
      </c>
    </row>
    <row r="115" ht="14.25" hidden="1" customHeight="1" spans="1:17">
      <c r="A115" s="3" t="s">
        <v>48</v>
      </c>
      <c r="B115" s="4">
        <v>46057</v>
      </c>
      <c r="C115" s="4">
        <v>46159</v>
      </c>
      <c r="D115" s="5">
        <v>0.552083333333333</v>
      </c>
      <c r="E115" s="6">
        <f t="shared" si="3"/>
        <v>2026</v>
      </c>
      <c r="F115" s="6">
        <f ca="1" t="shared" si="4"/>
        <v>-72</v>
      </c>
      <c r="G115" s="3" t="s">
        <v>18</v>
      </c>
      <c r="H115" s="3" t="s">
        <v>210</v>
      </c>
      <c r="I115" s="3" t="s">
        <v>150</v>
      </c>
      <c r="J115" s="3" t="s">
        <v>41</v>
      </c>
      <c r="K115" s="3" t="s">
        <v>102</v>
      </c>
      <c r="L115" s="7">
        <v>1500000</v>
      </c>
      <c r="M115" s="3" t="s">
        <v>31</v>
      </c>
      <c r="N115" s="3" t="s">
        <v>72</v>
      </c>
      <c r="O115" s="7">
        <v>1544900</v>
      </c>
      <c r="P115" s="8">
        <v>0.6</v>
      </c>
      <c r="Q115" s="7">
        <f t="shared" si="5"/>
        <v>926940</v>
      </c>
    </row>
    <row r="116" ht="14.25" hidden="1" customHeight="1" spans="1:17">
      <c r="A116" s="3" t="s">
        <v>192</v>
      </c>
      <c r="B116" s="4">
        <v>46082</v>
      </c>
      <c r="C116" s="4">
        <v>46154</v>
      </c>
      <c r="D116" s="5">
        <v>0.645833333333333</v>
      </c>
      <c r="E116" s="6">
        <f t="shared" si="3"/>
        <v>2026</v>
      </c>
      <c r="F116" s="6">
        <f ca="1" t="shared" si="4"/>
        <v>-77</v>
      </c>
      <c r="G116" s="3" t="s">
        <v>26</v>
      </c>
      <c r="H116" s="3" t="s">
        <v>193</v>
      </c>
      <c r="I116" s="3" t="s">
        <v>194</v>
      </c>
      <c r="J116" s="3" t="s">
        <v>51</v>
      </c>
      <c r="K116" s="3" t="s">
        <v>76</v>
      </c>
      <c r="L116" s="7">
        <v>120000</v>
      </c>
      <c r="M116" s="3" t="s">
        <v>31</v>
      </c>
      <c r="N116" s="3" t="s">
        <v>24</v>
      </c>
      <c r="O116" s="7">
        <v>103800</v>
      </c>
      <c r="P116" s="8">
        <v>0.6</v>
      </c>
      <c r="Q116" s="7">
        <f t="shared" si="5"/>
        <v>62280</v>
      </c>
    </row>
    <row r="117" ht="14.25" hidden="1" customHeight="1" spans="1:17">
      <c r="A117" s="3" t="s">
        <v>48</v>
      </c>
      <c r="B117" s="4">
        <v>46005</v>
      </c>
      <c r="C117" s="4">
        <v>46151</v>
      </c>
      <c r="D117" s="5">
        <v>0.583333333333333</v>
      </c>
      <c r="E117" s="6">
        <f t="shared" si="3"/>
        <v>2026</v>
      </c>
      <c r="F117" s="6">
        <f ca="1" t="shared" si="4"/>
        <v>-80</v>
      </c>
      <c r="G117" s="3" t="s">
        <v>18</v>
      </c>
      <c r="H117" s="3" t="s">
        <v>94</v>
      </c>
      <c r="I117" s="3" t="s">
        <v>50</v>
      </c>
      <c r="J117" s="3" t="s">
        <v>51</v>
      </c>
      <c r="K117" s="3" t="s">
        <v>98</v>
      </c>
      <c r="L117" s="7">
        <v>750000</v>
      </c>
      <c r="M117" s="3" t="s">
        <v>68</v>
      </c>
      <c r="N117" s="3" t="s">
        <v>24</v>
      </c>
      <c r="O117" s="7">
        <v>701700</v>
      </c>
      <c r="P117" s="8">
        <v>0.4</v>
      </c>
      <c r="Q117" s="7">
        <f t="shared" si="5"/>
        <v>280680</v>
      </c>
    </row>
    <row r="118" ht="14.25" hidden="1" customHeight="1" spans="1:17">
      <c r="A118" s="3" t="s">
        <v>25</v>
      </c>
      <c r="B118" s="4">
        <v>46114</v>
      </c>
      <c r="C118" s="4">
        <v>46151</v>
      </c>
      <c r="D118" s="5">
        <v>0.46875</v>
      </c>
      <c r="E118" s="6">
        <f t="shared" si="3"/>
        <v>2026</v>
      </c>
      <c r="F118" s="6">
        <f ca="1" t="shared" si="4"/>
        <v>-80</v>
      </c>
      <c r="G118" s="3" t="s">
        <v>26</v>
      </c>
      <c r="H118" s="3" t="s">
        <v>171</v>
      </c>
      <c r="I118" s="3" t="s">
        <v>28</v>
      </c>
      <c r="J118" s="3" t="s">
        <v>41</v>
      </c>
      <c r="K118" s="3" t="s">
        <v>22</v>
      </c>
      <c r="L118" s="7">
        <v>250000</v>
      </c>
      <c r="M118" s="3" t="s">
        <v>31</v>
      </c>
      <c r="N118" s="3" t="s">
        <v>24</v>
      </c>
      <c r="O118" s="7">
        <v>218400</v>
      </c>
      <c r="P118" s="8"/>
      <c r="Q118" s="7" t="str">
        <f t="shared" si="5"/>
        <v/>
      </c>
    </row>
    <row r="119" ht="14.25" hidden="1" customHeight="1" spans="1:17">
      <c r="A119" s="3" t="s">
        <v>25</v>
      </c>
      <c r="B119" s="4">
        <v>46089</v>
      </c>
      <c r="C119" s="4">
        <v>46150</v>
      </c>
      <c r="D119" s="5">
        <v>0.510416666666667</v>
      </c>
      <c r="E119" s="6">
        <f t="shared" si="3"/>
        <v>2026</v>
      </c>
      <c r="F119" s="6">
        <f ca="1" t="shared" si="4"/>
        <v>-81</v>
      </c>
      <c r="G119" s="3" t="s">
        <v>18</v>
      </c>
      <c r="H119" s="3" t="s">
        <v>221</v>
      </c>
      <c r="I119" s="3" t="s">
        <v>222</v>
      </c>
      <c r="J119" s="3" t="s">
        <v>109</v>
      </c>
      <c r="K119" s="3" t="s">
        <v>22</v>
      </c>
      <c r="L119" s="7">
        <v>180000</v>
      </c>
      <c r="M119" s="3" t="s">
        <v>37</v>
      </c>
      <c r="N119" s="3" t="s">
        <v>163</v>
      </c>
      <c r="O119" s="7">
        <v>171500</v>
      </c>
      <c r="P119" s="8"/>
      <c r="Q119" s="7" t="str">
        <f t="shared" si="5"/>
        <v/>
      </c>
    </row>
    <row r="120" ht="14.25" hidden="1" customHeight="1" spans="1:17">
      <c r="A120" s="3" t="s">
        <v>25</v>
      </c>
      <c r="B120" s="4">
        <v>46078</v>
      </c>
      <c r="C120" s="4">
        <v>46148</v>
      </c>
      <c r="D120" s="5">
        <v>0.46875</v>
      </c>
      <c r="E120" s="6">
        <f t="shared" si="3"/>
        <v>2026</v>
      </c>
      <c r="F120" s="6">
        <f ca="1" t="shared" si="4"/>
        <v>-83</v>
      </c>
      <c r="G120" s="3" t="s">
        <v>38</v>
      </c>
      <c r="H120" s="3" t="s">
        <v>223</v>
      </c>
      <c r="I120" s="3" t="s">
        <v>100</v>
      </c>
      <c r="J120" s="3" t="s">
        <v>113</v>
      </c>
      <c r="K120" s="3" t="s">
        <v>76</v>
      </c>
      <c r="L120" s="7">
        <v>500000</v>
      </c>
      <c r="M120" s="3" t="s">
        <v>68</v>
      </c>
      <c r="N120" s="3" t="s">
        <v>24</v>
      </c>
      <c r="O120" s="7">
        <v>445100</v>
      </c>
      <c r="P120" s="8">
        <v>0.6</v>
      </c>
      <c r="Q120" s="7">
        <f t="shared" si="5"/>
        <v>267060</v>
      </c>
    </row>
    <row r="121" ht="14.25" hidden="1" customHeight="1" spans="1:17">
      <c r="A121" s="3" t="s">
        <v>43</v>
      </c>
      <c r="B121" s="4">
        <v>46024</v>
      </c>
      <c r="C121" s="4">
        <v>46147</v>
      </c>
      <c r="D121" s="5">
        <v>0.5</v>
      </c>
      <c r="E121" s="6">
        <f t="shared" si="3"/>
        <v>2026</v>
      </c>
      <c r="F121" s="6">
        <f ca="1" t="shared" si="4"/>
        <v>-84</v>
      </c>
      <c r="G121" s="3" t="s">
        <v>26</v>
      </c>
      <c r="H121" s="3" t="s">
        <v>224</v>
      </c>
      <c r="I121" s="3" t="s">
        <v>45</v>
      </c>
      <c r="J121" s="3" t="s">
        <v>41</v>
      </c>
      <c r="K121" s="3" t="s">
        <v>102</v>
      </c>
      <c r="L121" s="7">
        <v>120000</v>
      </c>
      <c r="M121" s="3" t="s">
        <v>31</v>
      </c>
      <c r="N121" s="3" t="s">
        <v>78</v>
      </c>
      <c r="O121" s="7">
        <v>111000</v>
      </c>
      <c r="P121" s="8">
        <v>0.6</v>
      </c>
      <c r="Q121" s="7">
        <f t="shared" si="5"/>
        <v>66600</v>
      </c>
    </row>
    <row r="122" ht="14.25" hidden="1" customHeight="1" spans="1:17">
      <c r="A122" s="3" t="s">
        <v>25</v>
      </c>
      <c r="B122" s="4">
        <v>46015</v>
      </c>
      <c r="C122" s="4">
        <v>46146</v>
      </c>
      <c r="D122" s="5">
        <v>0.614583333333333</v>
      </c>
      <c r="E122" s="6">
        <f t="shared" si="3"/>
        <v>2026</v>
      </c>
      <c r="F122" s="6">
        <f ca="1" t="shared" si="4"/>
        <v>-85</v>
      </c>
      <c r="G122" s="3" t="s">
        <v>18</v>
      </c>
      <c r="H122" s="3" t="s">
        <v>131</v>
      </c>
      <c r="I122" s="3" t="s">
        <v>183</v>
      </c>
      <c r="J122" s="3" t="s">
        <v>109</v>
      </c>
      <c r="K122" s="3" t="s">
        <v>36</v>
      </c>
      <c r="L122" s="7">
        <v>80000</v>
      </c>
      <c r="M122" s="3" t="s">
        <v>31</v>
      </c>
      <c r="N122" s="3" t="s">
        <v>24</v>
      </c>
      <c r="O122" s="7">
        <v>82100</v>
      </c>
      <c r="P122" s="8">
        <v>0.2</v>
      </c>
      <c r="Q122" s="7">
        <f t="shared" si="5"/>
        <v>16420</v>
      </c>
    </row>
    <row r="123" ht="14.25" hidden="1" customHeight="1" spans="1:17">
      <c r="A123" s="3" t="s">
        <v>25</v>
      </c>
      <c r="B123" s="4">
        <v>46091</v>
      </c>
      <c r="C123" s="4">
        <v>46144</v>
      </c>
      <c r="D123" s="5">
        <v>0.604166666666667</v>
      </c>
      <c r="E123" s="6">
        <f t="shared" si="3"/>
        <v>2026</v>
      </c>
      <c r="F123" s="6">
        <f ca="1" t="shared" si="4"/>
        <v>-87</v>
      </c>
      <c r="G123" s="3" t="s">
        <v>18</v>
      </c>
      <c r="H123" s="3" t="s">
        <v>225</v>
      </c>
      <c r="I123" s="3" t="s">
        <v>92</v>
      </c>
      <c r="J123" s="3" t="s">
        <v>109</v>
      </c>
      <c r="K123" s="3" t="s">
        <v>22</v>
      </c>
      <c r="L123" s="7">
        <v>250000</v>
      </c>
      <c r="M123" s="3" t="s">
        <v>31</v>
      </c>
      <c r="N123" s="3" t="s">
        <v>24</v>
      </c>
      <c r="O123" s="7">
        <v>233300</v>
      </c>
      <c r="P123" s="8"/>
      <c r="Q123" s="7" t="str">
        <f t="shared" si="5"/>
        <v/>
      </c>
    </row>
    <row r="124" ht="14.25" hidden="1" customHeight="1" spans="1:17">
      <c r="A124" s="3" t="s">
        <v>48</v>
      </c>
      <c r="B124" s="4">
        <v>46108</v>
      </c>
      <c r="C124" s="4">
        <v>46143</v>
      </c>
      <c r="D124" s="5">
        <v>0.510416666666667</v>
      </c>
      <c r="E124" s="6">
        <f t="shared" si="3"/>
        <v>2026</v>
      </c>
      <c r="F124" s="6">
        <f ca="1" t="shared" si="4"/>
        <v>-88</v>
      </c>
      <c r="G124" s="3" t="s">
        <v>26</v>
      </c>
      <c r="H124" s="3" t="s">
        <v>226</v>
      </c>
      <c r="I124" s="3" t="s">
        <v>139</v>
      </c>
      <c r="J124" s="3" t="s">
        <v>29</v>
      </c>
      <c r="K124" s="3" t="s">
        <v>98</v>
      </c>
      <c r="L124" s="7">
        <v>1000000</v>
      </c>
      <c r="M124" s="3" t="s">
        <v>31</v>
      </c>
      <c r="N124" s="3" t="s">
        <v>24</v>
      </c>
      <c r="O124" s="7">
        <v>973400</v>
      </c>
      <c r="P124" s="8">
        <v>0.4</v>
      </c>
      <c r="Q124" s="7">
        <f t="shared" si="5"/>
        <v>389360</v>
      </c>
    </row>
    <row r="125" ht="14.25" hidden="1" customHeight="1" spans="1:17">
      <c r="A125" s="3" t="s">
        <v>152</v>
      </c>
      <c r="B125" s="4">
        <v>46098</v>
      </c>
      <c r="C125" s="4">
        <v>46141</v>
      </c>
      <c r="D125" s="5">
        <v>0.625</v>
      </c>
      <c r="E125" s="6">
        <f t="shared" si="3"/>
        <v>2026</v>
      </c>
      <c r="F125" s="6">
        <f ca="1" t="shared" si="4"/>
        <v>-90</v>
      </c>
      <c r="G125" s="3" t="s">
        <v>38</v>
      </c>
      <c r="H125" s="3" t="s">
        <v>227</v>
      </c>
      <c r="I125" s="3" t="s">
        <v>153</v>
      </c>
      <c r="J125" s="3" t="s">
        <v>29</v>
      </c>
      <c r="K125" s="3" t="s">
        <v>22</v>
      </c>
      <c r="L125" s="7">
        <v>180000</v>
      </c>
      <c r="M125" s="3" t="s">
        <v>68</v>
      </c>
      <c r="N125" s="3" t="s">
        <v>47</v>
      </c>
      <c r="O125" s="7">
        <v>157300</v>
      </c>
      <c r="P125" s="8"/>
      <c r="Q125" s="7" t="str">
        <f t="shared" si="5"/>
        <v/>
      </c>
    </row>
    <row r="126" ht="14.25" customHeight="1" spans="1:17">
      <c r="A126" s="3" t="s">
        <v>17</v>
      </c>
      <c r="B126" s="4">
        <v>46093</v>
      </c>
      <c r="C126" s="4">
        <v>46137</v>
      </c>
      <c r="D126" s="5">
        <v>0.572916666666667</v>
      </c>
      <c r="E126" s="6">
        <f t="shared" si="3"/>
        <v>2026</v>
      </c>
      <c r="F126" s="6">
        <f ca="1" t="shared" si="4"/>
        <v>-94</v>
      </c>
      <c r="G126" s="3" t="s">
        <v>18</v>
      </c>
      <c r="H126" s="3" t="s">
        <v>146</v>
      </c>
      <c r="I126" s="3" t="s">
        <v>20</v>
      </c>
      <c r="J126" s="3" t="s">
        <v>41</v>
      </c>
      <c r="K126" s="3" t="s">
        <v>30</v>
      </c>
      <c r="L126" s="7">
        <v>500000</v>
      </c>
      <c r="M126" s="3" t="s">
        <v>77</v>
      </c>
      <c r="N126" s="3" t="s">
        <v>24</v>
      </c>
      <c r="O126" s="7">
        <v>452300</v>
      </c>
      <c r="P126" s="8">
        <v>0.8</v>
      </c>
      <c r="Q126" s="7">
        <f t="shared" si="5"/>
        <v>361840</v>
      </c>
    </row>
    <row r="127" ht="14.25" customHeight="1" spans="1:17">
      <c r="A127" s="3" t="s">
        <v>133</v>
      </c>
      <c r="B127" s="4">
        <v>46075</v>
      </c>
      <c r="C127" s="4">
        <v>46134</v>
      </c>
      <c r="D127" s="5">
        <v>0.625</v>
      </c>
      <c r="E127" s="6">
        <f t="shared" si="3"/>
        <v>2026</v>
      </c>
      <c r="F127" s="6">
        <f ca="1" t="shared" si="4"/>
        <v>-97</v>
      </c>
      <c r="G127" s="3" t="s">
        <v>26</v>
      </c>
      <c r="H127" s="3" t="s">
        <v>74</v>
      </c>
      <c r="I127" s="3" t="s">
        <v>228</v>
      </c>
      <c r="J127" s="3" t="s">
        <v>21</v>
      </c>
      <c r="K127" s="3" t="s">
        <v>62</v>
      </c>
      <c r="L127" s="7">
        <v>1000000</v>
      </c>
      <c r="M127" s="3" t="s">
        <v>31</v>
      </c>
      <c r="N127" s="3" t="s">
        <v>24</v>
      </c>
      <c r="O127" s="7">
        <v>1024100</v>
      </c>
      <c r="P127" s="8">
        <v>1</v>
      </c>
      <c r="Q127" s="7">
        <f t="shared" si="5"/>
        <v>1024100</v>
      </c>
    </row>
    <row r="128" ht="14.25" customHeight="1" spans="1:17">
      <c r="A128" s="3" t="s">
        <v>17</v>
      </c>
      <c r="B128" s="4">
        <v>46090</v>
      </c>
      <c r="C128" s="4">
        <v>46132</v>
      </c>
      <c r="D128" s="5">
        <v>0.5625</v>
      </c>
      <c r="E128" s="6">
        <f t="shared" si="3"/>
        <v>2026</v>
      </c>
      <c r="F128" s="6">
        <f ca="1" t="shared" si="4"/>
        <v>-99</v>
      </c>
      <c r="G128" s="3" t="s">
        <v>26</v>
      </c>
      <c r="H128" s="3" t="s">
        <v>229</v>
      </c>
      <c r="I128" s="3" t="s">
        <v>20</v>
      </c>
      <c r="J128" s="3" t="s">
        <v>41</v>
      </c>
      <c r="K128" s="3" t="s">
        <v>62</v>
      </c>
      <c r="L128" s="7">
        <v>350000</v>
      </c>
      <c r="M128" s="3" t="s">
        <v>23</v>
      </c>
      <c r="N128" s="3" t="s">
        <v>124</v>
      </c>
      <c r="O128" s="7">
        <v>335200</v>
      </c>
      <c r="P128" s="8">
        <v>1</v>
      </c>
      <c r="Q128" s="7">
        <f t="shared" si="5"/>
        <v>335200</v>
      </c>
    </row>
    <row r="129" ht="14.25" hidden="1" customHeight="1" spans="1:17">
      <c r="A129" s="3" t="s">
        <v>17</v>
      </c>
      <c r="B129" s="4">
        <v>46022</v>
      </c>
      <c r="C129" s="4">
        <v>46132</v>
      </c>
      <c r="D129" s="5">
        <v>0.541666666666667</v>
      </c>
      <c r="E129" s="6">
        <f t="shared" si="3"/>
        <v>2026</v>
      </c>
      <c r="F129" s="6">
        <f ca="1" t="shared" si="4"/>
        <v>-99</v>
      </c>
      <c r="G129" s="3" t="s">
        <v>26</v>
      </c>
      <c r="H129" s="3" t="s">
        <v>198</v>
      </c>
      <c r="I129" s="3" t="s">
        <v>199</v>
      </c>
      <c r="J129" s="3" t="s">
        <v>21</v>
      </c>
      <c r="K129" s="3" t="s">
        <v>36</v>
      </c>
      <c r="L129" s="7">
        <v>750000</v>
      </c>
      <c r="M129" s="3" t="s">
        <v>101</v>
      </c>
      <c r="N129" s="3" t="s">
        <v>24</v>
      </c>
      <c r="O129" s="7">
        <v>745100</v>
      </c>
      <c r="P129" s="8">
        <v>0.2</v>
      </c>
      <c r="Q129" s="7">
        <f t="shared" si="5"/>
        <v>149020</v>
      </c>
    </row>
    <row r="130" ht="14.25" hidden="1" customHeight="1" spans="1:17">
      <c r="A130" s="3" t="s">
        <v>48</v>
      </c>
      <c r="B130" s="4">
        <v>46068</v>
      </c>
      <c r="C130" s="4">
        <v>46132</v>
      </c>
      <c r="D130" s="5">
        <v>0.489583333333333</v>
      </c>
      <c r="E130" s="6">
        <f t="shared" ref="E130:E193" si="6">YEAR(C130)</f>
        <v>2026</v>
      </c>
      <c r="F130" s="6">
        <f ca="1" t="shared" ref="F130:F193" si="7">C130-TODAY()</f>
        <v>-99</v>
      </c>
      <c r="G130" s="3" t="s">
        <v>18</v>
      </c>
      <c r="H130" s="3" t="s">
        <v>230</v>
      </c>
      <c r="I130" s="3" t="s">
        <v>231</v>
      </c>
      <c r="J130" s="3" t="s">
        <v>109</v>
      </c>
      <c r="K130" s="3" t="s">
        <v>140</v>
      </c>
      <c r="L130" s="7">
        <v>1000000</v>
      </c>
      <c r="M130" s="3" t="s">
        <v>31</v>
      </c>
      <c r="N130" s="3" t="s">
        <v>24</v>
      </c>
      <c r="O130" s="7">
        <v>885100</v>
      </c>
      <c r="P130" s="8"/>
      <c r="Q130" s="7" t="str">
        <f t="shared" ref="Q130:Q193" si="8">IF(P130="","",O130*P130)</f>
        <v/>
      </c>
    </row>
    <row r="131" ht="14.25" hidden="1" customHeight="1" spans="1:17">
      <c r="A131" s="3" t="s">
        <v>17</v>
      </c>
      <c r="B131" s="4">
        <v>46105</v>
      </c>
      <c r="C131" s="4">
        <v>46131</v>
      </c>
      <c r="D131" s="5">
        <v>0.46875</v>
      </c>
      <c r="E131" s="6">
        <f t="shared" si="6"/>
        <v>2026</v>
      </c>
      <c r="F131" s="6">
        <f ca="1" t="shared" si="7"/>
        <v>-100</v>
      </c>
      <c r="G131" s="3" t="s">
        <v>18</v>
      </c>
      <c r="H131" s="3" t="s">
        <v>86</v>
      </c>
      <c r="I131" s="3" t="s">
        <v>154</v>
      </c>
      <c r="J131" s="3" t="s">
        <v>21</v>
      </c>
      <c r="K131" s="3" t="s">
        <v>36</v>
      </c>
      <c r="L131" s="7">
        <v>180000</v>
      </c>
      <c r="M131" s="3" t="s">
        <v>101</v>
      </c>
      <c r="N131" s="3" t="s">
        <v>47</v>
      </c>
      <c r="O131" s="7">
        <v>175000</v>
      </c>
      <c r="P131" s="8">
        <v>0.2</v>
      </c>
      <c r="Q131" s="7">
        <f t="shared" si="8"/>
        <v>35000</v>
      </c>
    </row>
    <row r="132" ht="14.25" hidden="1" customHeight="1" spans="1:17">
      <c r="A132" s="3" t="s">
        <v>25</v>
      </c>
      <c r="B132" s="4">
        <v>46012</v>
      </c>
      <c r="C132" s="4">
        <v>46126</v>
      </c>
      <c r="D132" s="5">
        <v>0.59375</v>
      </c>
      <c r="E132" s="6">
        <f t="shared" si="6"/>
        <v>2026</v>
      </c>
      <c r="F132" s="6">
        <f ca="1" t="shared" si="7"/>
        <v>-105</v>
      </c>
      <c r="G132" s="3" t="s">
        <v>26</v>
      </c>
      <c r="H132" s="3" t="s">
        <v>232</v>
      </c>
      <c r="I132" s="3" t="s">
        <v>59</v>
      </c>
      <c r="J132" s="3" t="s">
        <v>41</v>
      </c>
      <c r="K132" s="3" t="s">
        <v>97</v>
      </c>
      <c r="L132" s="7">
        <v>750000</v>
      </c>
      <c r="M132" s="3" t="s">
        <v>42</v>
      </c>
      <c r="N132" s="3" t="s">
        <v>163</v>
      </c>
      <c r="O132" s="7">
        <v>708600</v>
      </c>
      <c r="P132" s="8"/>
      <c r="Q132" s="7" t="str">
        <f t="shared" si="8"/>
        <v/>
      </c>
    </row>
    <row r="133" ht="14.25" customHeight="1" spans="1:17">
      <c r="A133" s="3" t="s">
        <v>73</v>
      </c>
      <c r="B133" s="4">
        <v>45998</v>
      </c>
      <c r="C133" s="4">
        <v>46125</v>
      </c>
      <c r="D133" s="5">
        <v>0.59375</v>
      </c>
      <c r="E133" s="6">
        <f t="shared" si="6"/>
        <v>2026</v>
      </c>
      <c r="F133" s="6">
        <f ca="1" t="shared" si="7"/>
        <v>-106</v>
      </c>
      <c r="G133" s="3" t="s">
        <v>26</v>
      </c>
      <c r="H133" s="3" t="s">
        <v>233</v>
      </c>
      <c r="I133" s="3" t="s">
        <v>75</v>
      </c>
      <c r="J133" s="3" t="s">
        <v>113</v>
      </c>
      <c r="K133" s="3" t="s">
        <v>52</v>
      </c>
      <c r="L133" s="7">
        <v>1000000</v>
      </c>
      <c r="M133" s="3" t="s">
        <v>53</v>
      </c>
      <c r="N133" s="3" t="s">
        <v>24</v>
      </c>
      <c r="O133" s="7">
        <v>875100</v>
      </c>
      <c r="P133" s="8">
        <v>1</v>
      </c>
      <c r="Q133" s="7">
        <f t="shared" si="8"/>
        <v>875100</v>
      </c>
    </row>
    <row r="134" ht="14.25" hidden="1" customHeight="1" spans="1:17">
      <c r="A134" s="3" t="s">
        <v>17</v>
      </c>
      <c r="B134" s="4">
        <v>45973</v>
      </c>
      <c r="C134" s="4">
        <v>46123</v>
      </c>
      <c r="D134" s="5">
        <v>0.447916666666667</v>
      </c>
      <c r="E134" s="6">
        <f t="shared" si="6"/>
        <v>2026</v>
      </c>
      <c r="F134" s="6">
        <f ca="1" t="shared" si="7"/>
        <v>-108</v>
      </c>
      <c r="G134" s="3" t="s">
        <v>18</v>
      </c>
      <c r="H134" s="3" t="s">
        <v>210</v>
      </c>
      <c r="I134" s="3" t="s">
        <v>234</v>
      </c>
      <c r="J134" s="3" t="s">
        <v>21</v>
      </c>
      <c r="K134" s="3" t="s">
        <v>67</v>
      </c>
      <c r="L134" s="7">
        <v>1000000</v>
      </c>
      <c r="M134" s="3" t="s">
        <v>56</v>
      </c>
      <c r="N134" s="3" t="s">
        <v>24</v>
      </c>
      <c r="O134" s="7">
        <v>969200</v>
      </c>
      <c r="P134" s="8"/>
      <c r="Q134" s="7" t="str">
        <f t="shared" si="8"/>
        <v/>
      </c>
    </row>
    <row r="135" ht="14.25" hidden="1" customHeight="1" spans="1:17">
      <c r="A135" s="3" t="s">
        <v>25</v>
      </c>
      <c r="B135" s="4">
        <v>46057</v>
      </c>
      <c r="C135" s="4">
        <v>46121</v>
      </c>
      <c r="D135" s="5">
        <v>0.4375</v>
      </c>
      <c r="E135" s="6">
        <f t="shared" si="6"/>
        <v>2026</v>
      </c>
      <c r="F135" s="6">
        <f ca="1" t="shared" si="7"/>
        <v>-110</v>
      </c>
      <c r="G135" s="3" t="s">
        <v>26</v>
      </c>
      <c r="H135" s="3" t="s">
        <v>235</v>
      </c>
      <c r="I135" s="3" t="s">
        <v>186</v>
      </c>
      <c r="J135" s="3" t="s">
        <v>41</v>
      </c>
      <c r="K135" s="3" t="s">
        <v>22</v>
      </c>
      <c r="L135" s="7">
        <v>80000</v>
      </c>
      <c r="M135" s="3" t="s">
        <v>77</v>
      </c>
      <c r="N135" s="3" t="s">
        <v>148</v>
      </c>
      <c r="O135" s="7">
        <v>77900</v>
      </c>
      <c r="P135" s="8"/>
      <c r="Q135" s="7" t="str">
        <f t="shared" si="8"/>
        <v/>
      </c>
    </row>
    <row r="136" ht="14.25" hidden="1" customHeight="1" spans="1:17">
      <c r="A136" s="3" t="s">
        <v>25</v>
      </c>
      <c r="B136" s="4">
        <v>46054</v>
      </c>
      <c r="C136" s="4">
        <v>46118</v>
      </c>
      <c r="D136" s="5">
        <v>0.458333333333333</v>
      </c>
      <c r="E136" s="6">
        <f t="shared" si="6"/>
        <v>2026</v>
      </c>
      <c r="F136" s="6">
        <f ca="1" t="shared" si="7"/>
        <v>-113</v>
      </c>
      <c r="G136" s="3" t="s">
        <v>38</v>
      </c>
      <c r="H136" s="3" t="s">
        <v>236</v>
      </c>
      <c r="I136" s="3" t="s">
        <v>92</v>
      </c>
      <c r="J136" s="3" t="s">
        <v>35</v>
      </c>
      <c r="K136" s="3" t="s">
        <v>71</v>
      </c>
      <c r="L136" s="7">
        <v>1000000</v>
      </c>
      <c r="M136" s="3" t="s">
        <v>31</v>
      </c>
      <c r="N136" s="3" t="s">
        <v>128</v>
      </c>
      <c r="O136" s="7">
        <v>925800</v>
      </c>
      <c r="P136" s="8">
        <v>0.2</v>
      </c>
      <c r="Q136" s="7">
        <f t="shared" si="8"/>
        <v>185160</v>
      </c>
    </row>
    <row r="137" ht="14.25" hidden="1" customHeight="1" spans="1:17">
      <c r="A137" s="3" t="s">
        <v>73</v>
      </c>
      <c r="B137" s="4">
        <v>46025</v>
      </c>
      <c r="C137" s="4">
        <v>46116</v>
      </c>
      <c r="D137" s="5">
        <v>0.46875</v>
      </c>
      <c r="E137" s="6">
        <f t="shared" si="6"/>
        <v>2026</v>
      </c>
      <c r="F137" s="6">
        <f ca="1" t="shared" si="7"/>
        <v>-115</v>
      </c>
      <c r="G137" s="3" t="s">
        <v>26</v>
      </c>
      <c r="H137" s="3" t="s">
        <v>237</v>
      </c>
      <c r="I137" s="3" t="s">
        <v>238</v>
      </c>
      <c r="J137" s="3" t="s">
        <v>113</v>
      </c>
      <c r="K137" s="3" t="s">
        <v>22</v>
      </c>
      <c r="L137" s="7">
        <v>80000</v>
      </c>
      <c r="M137" s="3" t="s">
        <v>31</v>
      </c>
      <c r="N137" s="3" t="s">
        <v>24</v>
      </c>
      <c r="O137" s="7">
        <v>70200</v>
      </c>
      <c r="P137" s="8"/>
      <c r="Q137" s="7" t="str">
        <f t="shared" si="8"/>
        <v/>
      </c>
    </row>
    <row r="138" ht="14.25" hidden="1" customHeight="1" spans="1:17">
      <c r="A138" s="3" t="s">
        <v>25</v>
      </c>
      <c r="B138" s="4">
        <v>45957</v>
      </c>
      <c r="C138" s="4">
        <v>46113</v>
      </c>
      <c r="D138" s="5">
        <v>0.635416666666667</v>
      </c>
      <c r="E138" s="6">
        <f t="shared" si="6"/>
        <v>2026</v>
      </c>
      <c r="F138" s="6">
        <f ca="1" t="shared" si="7"/>
        <v>-118</v>
      </c>
      <c r="G138" s="3" t="s">
        <v>18</v>
      </c>
      <c r="H138" s="3" t="s">
        <v>116</v>
      </c>
      <c r="I138" s="3" t="s">
        <v>92</v>
      </c>
      <c r="J138" s="3" t="s">
        <v>21</v>
      </c>
      <c r="K138" s="3" t="s">
        <v>102</v>
      </c>
      <c r="L138" s="7">
        <v>50000</v>
      </c>
      <c r="M138" s="3" t="s">
        <v>31</v>
      </c>
      <c r="N138" s="3" t="s">
        <v>24</v>
      </c>
      <c r="O138" s="7">
        <v>50700</v>
      </c>
      <c r="P138" s="8">
        <v>0.6</v>
      </c>
      <c r="Q138" s="7">
        <f t="shared" si="8"/>
        <v>30420</v>
      </c>
    </row>
    <row r="139" ht="14.25" hidden="1" customHeight="1" spans="1:17">
      <c r="A139" s="3" t="s">
        <v>239</v>
      </c>
      <c r="B139" s="4">
        <v>45958</v>
      </c>
      <c r="C139" s="4">
        <v>46112</v>
      </c>
      <c r="D139" s="5">
        <v>0.46875</v>
      </c>
      <c r="E139" s="6">
        <f t="shared" si="6"/>
        <v>2026</v>
      </c>
      <c r="F139" s="6">
        <f ca="1" t="shared" si="7"/>
        <v>-119</v>
      </c>
      <c r="G139" s="3" t="s">
        <v>26</v>
      </c>
      <c r="H139" s="3" t="s">
        <v>240</v>
      </c>
      <c r="I139" s="3" t="s">
        <v>241</v>
      </c>
      <c r="J139" s="3" t="s">
        <v>21</v>
      </c>
      <c r="K139" s="3" t="s">
        <v>67</v>
      </c>
      <c r="L139" s="7">
        <v>120000</v>
      </c>
      <c r="M139" s="3" t="s">
        <v>42</v>
      </c>
      <c r="N139" s="3" t="s">
        <v>163</v>
      </c>
      <c r="O139" s="7">
        <v>114300</v>
      </c>
      <c r="P139" s="8"/>
      <c r="Q139" s="7" t="str">
        <f t="shared" si="8"/>
        <v/>
      </c>
    </row>
    <row r="140" ht="14.25" hidden="1" customHeight="1" spans="1:17">
      <c r="A140" s="3" t="s">
        <v>17</v>
      </c>
      <c r="B140" s="4">
        <v>45937</v>
      </c>
      <c r="C140" s="4">
        <v>46112</v>
      </c>
      <c r="D140" s="5">
        <v>0.65625</v>
      </c>
      <c r="E140" s="6">
        <f t="shared" si="6"/>
        <v>2026</v>
      </c>
      <c r="F140" s="6">
        <f ca="1" t="shared" si="7"/>
        <v>-119</v>
      </c>
      <c r="G140" s="3" t="s">
        <v>18</v>
      </c>
      <c r="H140" s="3" t="s">
        <v>86</v>
      </c>
      <c r="I140" s="3" t="s">
        <v>176</v>
      </c>
      <c r="J140" s="3" t="s">
        <v>109</v>
      </c>
      <c r="K140" s="3" t="s">
        <v>71</v>
      </c>
      <c r="L140" s="7">
        <v>750000</v>
      </c>
      <c r="M140" s="3" t="s">
        <v>31</v>
      </c>
      <c r="N140" s="3" t="s">
        <v>155</v>
      </c>
      <c r="O140" s="7">
        <v>673600</v>
      </c>
      <c r="P140" s="8">
        <v>0.2</v>
      </c>
      <c r="Q140" s="7">
        <f t="shared" si="8"/>
        <v>134720</v>
      </c>
    </row>
    <row r="141" ht="14.25" hidden="1" customHeight="1" spans="1:17">
      <c r="A141" s="3" t="s">
        <v>192</v>
      </c>
      <c r="B141" s="4">
        <v>45943</v>
      </c>
      <c r="C141" s="4">
        <v>46107</v>
      </c>
      <c r="D141" s="5">
        <v>0.5625</v>
      </c>
      <c r="E141" s="6">
        <f t="shared" si="6"/>
        <v>2026</v>
      </c>
      <c r="F141" s="6">
        <f ca="1" t="shared" si="7"/>
        <v>-124</v>
      </c>
      <c r="G141" s="3" t="s">
        <v>38</v>
      </c>
      <c r="H141" s="3" t="s">
        <v>223</v>
      </c>
      <c r="I141" s="3" t="s">
        <v>242</v>
      </c>
      <c r="J141" s="3" t="s">
        <v>51</v>
      </c>
      <c r="K141" s="3" t="s">
        <v>67</v>
      </c>
      <c r="L141" s="7">
        <v>1500000</v>
      </c>
      <c r="M141" s="3" t="s">
        <v>53</v>
      </c>
      <c r="N141" s="3" t="s">
        <v>155</v>
      </c>
      <c r="O141" s="7">
        <v>1417400</v>
      </c>
      <c r="P141" s="8"/>
      <c r="Q141" s="7" t="str">
        <f t="shared" si="8"/>
        <v/>
      </c>
    </row>
    <row r="142" ht="14.25" customHeight="1" spans="1:17">
      <c r="A142" s="3" t="s">
        <v>43</v>
      </c>
      <c r="B142" s="4">
        <v>45928</v>
      </c>
      <c r="C142" s="4">
        <v>46104</v>
      </c>
      <c r="D142" s="5">
        <v>0.625</v>
      </c>
      <c r="E142" s="6">
        <f t="shared" si="6"/>
        <v>2026</v>
      </c>
      <c r="F142" s="6">
        <f ca="1" t="shared" si="7"/>
        <v>-127</v>
      </c>
      <c r="G142" s="3" t="s">
        <v>18</v>
      </c>
      <c r="H142" s="3" t="s">
        <v>114</v>
      </c>
      <c r="I142" s="3" t="s">
        <v>45</v>
      </c>
      <c r="J142" s="3" t="s">
        <v>51</v>
      </c>
      <c r="K142" s="3" t="s">
        <v>62</v>
      </c>
      <c r="L142" s="7">
        <v>750000</v>
      </c>
      <c r="M142" s="3" t="s">
        <v>31</v>
      </c>
      <c r="N142" s="3" t="s">
        <v>24</v>
      </c>
      <c r="O142" s="7">
        <v>769700</v>
      </c>
      <c r="P142" s="8">
        <v>1</v>
      </c>
      <c r="Q142" s="7">
        <f t="shared" si="8"/>
        <v>769700</v>
      </c>
    </row>
    <row r="143" ht="14.25" hidden="1" customHeight="1" spans="1:17">
      <c r="A143" s="3" t="s">
        <v>192</v>
      </c>
      <c r="B143" s="4">
        <v>45983</v>
      </c>
      <c r="C143" s="4">
        <v>46104</v>
      </c>
      <c r="D143" s="5">
        <v>0.4375</v>
      </c>
      <c r="E143" s="6">
        <f t="shared" si="6"/>
        <v>2026</v>
      </c>
      <c r="F143" s="6">
        <f ca="1" t="shared" si="7"/>
        <v>-127</v>
      </c>
      <c r="G143" s="3" t="s">
        <v>18</v>
      </c>
      <c r="H143" s="3" t="s">
        <v>243</v>
      </c>
      <c r="I143" s="3" t="s">
        <v>244</v>
      </c>
      <c r="J143" s="3" t="s">
        <v>41</v>
      </c>
      <c r="K143" s="3" t="s">
        <v>71</v>
      </c>
      <c r="L143" s="7">
        <v>250000</v>
      </c>
      <c r="M143" s="3" t="s">
        <v>31</v>
      </c>
      <c r="N143" s="3" t="s">
        <v>24</v>
      </c>
      <c r="O143" s="7">
        <v>231200</v>
      </c>
      <c r="P143" s="8">
        <v>0.2</v>
      </c>
      <c r="Q143" s="7">
        <f t="shared" si="8"/>
        <v>46240</v>
      </c>
    </row>
    <row r="144" ht="14.25" customHeight="1" spans="1:17">
      <c r="A144" s="3" t="s">
        <v>17</v>
      </c>
      <c r="B144" s="4">
        <v>45937</v>
      </c>
      <c r="C144" s="4">
        <v>46103</v>
      </c>
      <c r="D144" s="5">
        <v>0.552083333333333</v>
      </c>
      <c r="E144" s="6">
        <f t="shared" si="6"/>
        <v>2026</v>
      </c>
      <c r="F144" s="6">
        <f ca="1" t="shared" si="7"/>
        <v>-128</v>
      </c>
      <c r="G144" s="3" t="s">
        <v>38</v>
      </c>
      <c r="H144" s="3" t="s">
        <v>245</v>
      </c>
      <c r="I144" s="3" t="s">
        <v>20</v>
      </c>
      <c r="J144" s="3" t="s">
        <v>35</v>
      </c>
      <c r="K144" s="3" t="s">
        <v>30</v>
      </c>
      <c r="L144" s="7">
        <v>500000</v>
      </c>
      <c r="M144" s="3" t="s">
        <v>101</v>
      </c>
      <c r="N144" s="3" t="s">
        <v>24</v>
      </c>
      <c r="O144" s="7">
        <v>444000</v>
      </c>
      <c r="P144" s="8">
        <v>0.8</v>
      </c>
      <c r="Q144" s="7">
        <f t="shared" si="8"/>
        <v>355200</v>
      </c>
    </row>
    <row r="145" ht="14.25" customHeight="1" spans="1:17">
      <c r="A145" s="3" t="s">
        <v>17</v>
      </c>
      <c r="B145" s="4">
        <v>46003</v>
      </c>
      <c r="C145" s="4">
        <v>46103</v>
      </c>
      <c r="D145" s="5">
        <v>0.552083333333333</v>
      </c>
      <c r="E145" s="6">
        <f t="shared" si="6"/>
        <v>2026</v>
      </c>
      <c r="F145" s="6">
        <f ca="1" t="shared" si="7"/>
        <v>-128</v>
      </c>
      <c r="G145" s="3" t="s">
        <v>26</v>
      </c>
      <c r="H145" s="3" t="s">
        <v>246</v>
      </c>
      <c r="I145" s="3" t="s">
        <v>107</v>
      </c>
      <c r="J145" s="3" t="s">
        <v>109</v>
      </c>
      <c r="K145" s="3" t="s">
        <v>52</v>
      </c>
      <c r="L145" s="7">
        <v>250000</v>
      </c>
      <c r="M145" s="3" t="s">
        <v>53</v>
      </c>
      <c r="N145" s="3" t="s">
        <v>24</v>
      </c>
      <c r="O145" s="7">
        <v>228500</v>
      </c>
      <c r="P145" s="8">
        <v>1</v>
      </c>
      <c r="Q145" s="7">
        <f t="shared" si="8"/>
        <v>228500</v>
      </c>
    </row>
    <row r="146" ht="14.25" hidden="1" customHeight="1" spans="1:17">
      <c r="A146" s="3" t="s">
        <v>73</v>
      </c>
      <c r="B146" s="4">
        <v>45924</v>
      </c>
      <c r="C146" s="4">
        <v>46103</v>
      </c>
      <c r="D146" s="5">
        <v>0.625</v>
      </c>
      <c r="E146" s="6">
        <f t="shared" si="6"/>
        <v>2026</v>
      </c>
      <c r="F146" s="6">
        <f ca="1" t="shared" si="7"/>
        <v>-128</v>
      </c>
      <c r="G146" s="3" t="s">
        <v>26</v>
      </c>
      <c r="H146" s="3" t="s">
        <v>74</v>
      </c>
      <c r="I146" s="3" t="s">
        <v>238</v>
      </c>
      <c r="J146" s="3" t="s">
        <v>51</v>
      </c>
      <c r="K146" s="3" t="s">
        <v>140</v>
      </c>
      <c r="L146" s="7">
        <v>80000</v>
      </c>
      <c r="M146" s="3" t="s">
        <v>31</v>
      </c>
      <c r="N146" s="3" t="s">
        <v>57</v>
      </c>
      <c r="O146" s="7">
        <v>70300</v>
      </c>
      <c r="P146" s="8"/>
      <c r="Q146" s="7" t="str">
        <f t="shared" si="8"/>
        <v/>
      </c>
    </row>
    <row r="147" ht="14.25" hidden="1" customHeight="1" spans="1:17">
      <c r="A147" s="3" t="s">
        <v>25</v>
      </c>
      <c r="B147" s="4">
        <v>46014</v>
      </c>
      <c r="C147" s="4">
        <v>46098</v>
      </c>
      <c r="D147" s="5">
        <v>0.583333333333333</v>
      </c>
      <c r="E147" s="6">
        <f t="shared" si="6"/>
        <v>2026</v>
      </c>
      <c r="F147" s="6">
        <f ca="1" t="shared" si="7"/>
        <v>-133</v>
      </c>
      <c r="G147" s="3" t="s">
        <v>26</v>
      </c>
      <c r="H147" s="3" t="s">
        <v>247</v>
      </c>
      <c r="I147" s="3" t="s">
        <v>191</v>
      </c>
      <c r="J147" s="3" t="s">
        <v>35</v>
      </c>
      <c r="K147" s="3" t="s">
        <v>76</v>
      </c>
      <c r="L147" s="7">
        <v>750000</v>
      </c>
      <c r="M147" s="3" t="s">
        <v>31</v>
      </c>
      <c r="N147" s="3" t="s">
        <v>24</v>
      </c>
      <c r="O147" s="7">
        <v>784200</v>
      </c>
      <c r="P147" s="8">
        <v>0.6</v>
      </c>
      <c r="Q147" s="7">
        <f t="shared" si="8"/>
        <v>470520</v>
      </c>
    </row>
    <row r="148" ht="14.25" customHeight="1" spans="1:17">
      <c r="A148" s="3" t="s">
        <v>73</v>
      </c>
      <c r="B148" s="4">
        <v>46070</v>
      </c>
      <c r="C148" s="4">
        <v>46098</v>
      </c>
      <c r="D148" s="5">
        <v>0.604166666666667</v>
      </c>
      <c r="E148" s="6">
        <f t="shared" si="6"/>
        <v>2026</v>
      </c>
      <c r="F148" s="6">
        <f ca="1" t="shared" si="7"/>
        <v>-133</v>
      </c>
      <c r="G148" s="3" t="s">
        <v>26</v>
      </c>
      <c r="H148" s="3" t="s">
        <v>171</v>
      </c>
      <c r="I148" s="3" t="s">
        <v>248</v>
      </c>
      <c r="J148" s="3" t="s">
        <v>21</v>
      </c>
      <c r="K148" s="3" t="s">
        <v>145</v>
      </c>
      <c r="L148" s="7">
        <v>750000</v>
      </c>
      <c r="M148" s="3" t="s">
        <v>104</v>
      </c>
      <c r="N148" s="3" t="s">
        <v>128</v>
      </c>
      <c r="O148" s="7">
        <v>760600</v>
      </c>
      <c r="P148" s="8">
        <v>0.8</v>
      </c>
      <c r="Q148" s="7">
        <f t="shared" si="8"/>
        <v>608480</v>
      </c>
    </row>
    <row r="149" ht="14.25" hidden="1" customHeight="1" spans="1:17">
      <c r="A149" s="3" t="s">
        <v>48</v>
      </c>
      <c r="B149" s="4">
        <v>46028</v>
      </c>
      <c r="C149" s="4">
        <v>46098</v>
      </c>
      <c r="D149" s="5">
        <v>0.510416666666667</v>
      </c>
      <c r="E149" s="6">
        <f t="shared" si="6"/>
        <v>2026</v>
      </c>
      <c r="F149" s="6">
        <f ca="1" t="shared" si="7"/>
        <v>-133</v>
      </c>
      <c r="G149" s="3" t="s">
        <v>38</v>
      </c>
      <c r="H149" s="3" t="s">
        <v>99</v>
      </c>
      <c r="I149" s="3" t="s">
        <v>189</v>
      </c>
      <c r="J149" s="3" t="s">
        <v>21</v>
      </c>
      <c r="K149" s="3" t="s">
        <v>67</v>
      </c>
      <c r="L149" s="7">
        <v>500000</v>
      </c>
      <c r="M149" s="3" t="s">
        <v>31</v>
      </c>
      <c r="N149" s="3" t="s">
        <v>163</v>
      </c>
      <c r="O149" s="7">
        <v>466000</v>
      </c>
      <c r="P149" s="8"/>
      <c r="Q149" s="7" t="str">
        <f t="shared" si="8"/>
        <v/>
      </c>
    </row>
    <row r="150" ht="14.25" hidden="1" customHeight="1" spans="1:17">
      <c r="A150" s="3" t="s">
        <v>25</v>
      </c>
      <c r="B150" s="4">
        <v>46047</v>
      </c>
      <c r="C150" s="4">
        <v>46095</v>
      </c>
      <c r="D150" s="5">
        <v>0.614583333333333</v>
      </c>
      <c r="E150" s="6">
        <f t="shared" si="6"/>
        <v>2026</v>
      </c>
      <c r="F150" s="6">
        <f ca="1" t="shared" si="7"/>
        <v>-136</v>
      </c>
      <c r="G150" s="3" t="s">
        <v>38</v>
      </c>
      <c r="H150" s="3" t="s">
        <v>159</v>
      </c>
      <c r="I150" s="3" t="s">
        <v>160</v>
      </c>
      <c r="J150" s="3" t="s">
        <v>51</v>
      </c>
      <c r="K150" s="3" t="s">
        <v>67</v>
      </c>
      <c r="L150" s="7">
        <v>250000</v>
      </c>
      <c r="M150" s="3" t="s">
        <v>31</v>
      </c>
      <c r="N150" s="3" t="s">
        <v>24</v>
      </c>
      <c r="O150" s="7">
        <v>223200</v>
      </c>
      <c r="P150" s="8"/>
      <c r="Q150" s="7" t="str">
        <f t="shared" si="8"/>
        <v/>
      </c>
    </row>
    <row r="151" ht="14.25" hidden="1" customHeight="1" spans="1:17">
      <c r="A151" s="3" t="s">
        <v>133</v>
      </c>
      <c r="B151" s="4">
        <v>46041</v>
      </c>
      <c r="C151" s="4">
        <v>46095</v>
      </c>
      <c r="D151" s="5">
        <v>0.416666666666667</v>
      </c>
      <c r="E151" s="6">
        <f t="shared" si="6"/>
        <v>2026</v>
      </c>
      <c r="F151" s="6">
        <f ca="1" t="shared" si="7"/>
        <v>-136</v>
      </c>
      <c r="G151" s="3" t="s">
        <v>38</v>
      </c>
      <c r="H151" s="3" t="s">
        <v>39</v>
      </c>
      <c r="I151" s="3" t="s">
        <v>135</v>
      </c>
      <c r="J151" s="3" t="s">
        <v>29</v>
      </c>
      <c r="K151" s="3" t="s">
        <v>71</v>
      </c>
      <c r="L151" s="7">
        <v>1000000</v>
      </c>
      <c r="M151" s="3" t="s">
        <v>104</v>
      </c>
      <c r="N151" s="3" t="s">
        <v>24</v>
      </c>
      <c r="O151" s="7">
        <v>945300</v>
      </c>
      <c r="P151" s="8">
        <v>0.2</v>
      </c>
      <c r="Q151" s="7">
        <f t="shared" si="8"/>
        <v>189060</v>
      </c>
    </row>
    <row r="152" ht="14.25" hidden="1" customHeight="1" spans="1:17">
      <c r="A152" s="3" t="s">
        <v>17</v>
      </c>
      <c r="B152" s="4">
        <v>45943</v>
      </c>
      <c r="C152" s="4">
        <v>46094</v>
      </c>
      <c r="D152" s="5">
        <v>0.65625</v>
      </c>
      <c r="E152" s="6">
        <f t="shared" si="6"/>
        <v>2026</v>
      </c>
      <c r="F152" s="6">
        <f ca="1" t="shared" si="7"/>
        <v>-137</v>
      </c>
      <c r="G152" s="3" t="s">
        <v>26</v>
      </c>
      <c r="H152" s="3" t="s">
        <v>58</v>
      </c>
      <c r="I152" s="3" t="s">
        <v>249</v>
      </c>
      <c r="J152" s="3" t="s">
        <v>41</v>
      </c>
      <c r="K152" s="3" t="s">
        <v>22</v>
      </c>
      <c r="L152" s="7">
        <v>1000000</v>
      </c>
      <c r="M152" s="3" t="s">
        <v>101</v>
      </c>
      <c r="N152" s="3" t="s">
        <v>78</v>
      </c>
      <c r="O152" s="7">
        <v>1025700</v>
      </c>
      <c r="P152" s="8"/>
      <c r="Q152" s="7" t="str">
        <f t="shared" si="8"/>
        <v/>
      </c>
    </row>
    <row r="153" ht="14.25" customHeight="1" spans="1:17">
      <c r="A153" s="3" t="s">
        <v>25</v>
      </c>
      <c r="B153" s="4">
        <v>45926</v>
      </c>
      <c r="C153" s="4">
        <v>46092</v>
      </c>
      <c r="D153" s="5">
        <v>0.458333333333333</v>
      </c>
      <c r="E153" s="6">
        <f t="shared" si="6"/>
        <v>2026</v>
      </c>
      <c r="F153" s="6">
        <f ca="1" t="shared" si="7"/>
        <v>-139</v>
      </c>
      <c r="G153" s="3" t="s">
        <v>18</v>
      </c>
      <c r="H153" s="3" t="s">
        <v>131</v>
      </c>
      <c r="I153" s="3" t="s">
        <v>207</v>
      </c>
      <c r="J153" s="3" t="s">
        <v>51</v>
      </c>
      <c r="K153" s="3" t="s">
        <v>62</v>
      </c>
      <c r="L153" s="7">
        <v>350000</v>
      </c>
      <c r="M153" s="3" t="s">
        <v>31</v>
      </c>
      <c r="N153" s="3" t="s">
        <v>24</v>
      </c>
      <c r="O153" s="7">
        <v>360400</v>
      </c>
      <c r="P153" s="8">
        <v>1</v>
      </c>
      <c r="Q153" s="7">
        <f t="shared" si="8"/>
        <v>360400</v>
      </c>
    </row>
    <row r="154" ht="14.25" hidden="1" customHeight="1" spans="1:17">
      <c r="A154" s="3" t="s">
        <v>17</v>
      </c>
      <c r="B154" s="4">
        <v>46045</v>
      </c>
      <c r="C154" s="4">
        <v>46084</v>
      </c>
      <c r="D154" s="5">
        <v>0.65625</v>
      </c>
      <c r="E154" s="6">
        <f t="shared" si="6"/>
        <v>2026</v>
      </c>
      <c r="F154" s="6">
        <f ca="1" t="shared" si="7"/>
        <v>-147</v>
      </c>
      <c r="G154" s="3" t="s">
        <v>26</v>
      </c>
      <c r="H154" s="3" t="s">
        <v>83</v>
      </c>
      <c r="I154" s="3" t="s">
        <v>206</v>
      </c>
      <c r="J154" s="3" t="s">
        <v>29</v>
      </c>
      <c r="K154" s="3" t="s">
        <v>76</v>
      </c>
      <c r="L154" s="7">
        <v>120000</v>
      </c>
      <c r="M154" s="3" t="s">
        <v>42</v>
      </c>
      <c r="N154" s="3" t="s">
        <v>24</v>
      </c>
      <c r="O154" s="7">
        <v>112000</v>
      </c>
      <c r="P154" s="8">
        <v>0.6</v>
      </c>
      <c r="Q154" s="7">
        <f t="shared" si="8"/>
        <v>67200</v>
      </c>
    </row>
    <row r="155" ht="14.25" customHeight="1" spans="1:17">
      <c r="A155" s="3" t="s">
        <v>79</v>
      </c>
      <c r="B155" s="4">
        <v>45992</v>
      </c>
      <c r="C155" s="4">
        <v>46082</v>
      </c>
      <c r="D155" s="5">
        <v>0.604166666666667</v>
      </c>
      <c r="E155" s="6">
        <f t="shared" si="6"/>
        <v>2026</v>
      </c>
      <c r="F155" s="6">
        <f ca="1" t="shared" si="7"/>
        <v>-149</v>
      </c>
      <c r="G155" s="3" t="s">
        <v>26</v>
      </c>
      <c r="H155" s="3" t="s">
        <v>193</v>
      </c>
      <c r="I155" s="3" t="s">
        <v>81</v>
      </c>
      <c r="J155" s="3" t="s">
        <v>51</v>
      </c>
      <c r="K155" s="3" t="s">
        <v>145</v>
      </c>
      <c r="L155" s="7">
        <v>1500000</v>
      </c>
      <c r="M155" s="3" t="s">
        <v>31</v>
      </c>
      <c r="N155" s="3" t="s">
        <v>24</v>
      </c>
      <c r="O155" s="7">
        <v>1536700</v>
      </c>
      <c r="P155" s="8">
        <v>0.8</v>
      </c>
      <c r="Q155" s="7">
        <f t="shared" si="8"/>
        <v>1229360</v>
      </c>
    </row>
    <row r="156" ht="14.25" hidden="1" customHeight="1" spans="1:17">
      <c r="A156" s="3" t="s">
        <v>25</v>
      </c>
      <c r="B156" s="4">
        <v>45944</v>
      </c>
      <c r="C156" s="4">
        <v>46077</v>
      </c>
      <c r="D156" s="5">
        <v>0.510416666666667</v>
      </c>
      <c r="E156" s="6">
        <f t="shared" si="6"/>
        <v>2026</v>
      </c>
      <c r="F156" s="6">
        <f ca="1" t="shared" si="7"/>
        <v>-154</v>
      </c>
      <c r="G156" s="3" t="s">
        <v>18</v>
      </c>
      <c r="H156" s="3" t="s">
        <v>89</v>
      </c>
      <c r="I156" s="3" t="s">
        <v>212</v>
      </c>
      <c r="J156" s="3" t="s">
        <v>21</v>
      </c>
      <c r="K156" s="3" t="s">
        <v>98</v>
      </c>
      <c r="L156" s="7">
        <v>250000</v>
      </c>
      <c r="M156" s="3" t="s">
        <v>101</v>
      </c>
      <c r="N156" s="3" t="s">
        <v>163</v>
      </c>
      <c r="O156" s="7">
        <v>234200</v>
      </c>
      <c r="P156" s="8">
        <v>0.4</v>
      </c>
      <c r="Q156" s="7">
        <f t="shared" si="8"/>
        <v>93680</v>
      </c>
    </row>
    <row r="157" ht="14.25" hidden="1" customHeight="1" spans="1:17">
      <c r="A157" s="3" t="s">
        <v>25</v>
      </c>
      <c r="B157" s="4">
        <v>46051</v>
      </c>
      <c r="C157" s="4">
        <v>46076</v>
      </c>
      <c r="D157" s="5">
        <v>0.645833333333333</v>
      </c>
      <c r="E157" s="6">
        <f t="shared" si="6"/>
        <v>2026</v>
      </c>
      <c r="F157" s="6">
        <f ca="1" t="shared" si="7"/>
        <v>-155</v>
      </c>
      <c r="G157" s="3" t="s">
        <v>26</v>
      </c>
      <c r="H157" s="3" t="s">
        <v>193</v>
      </c>
      <c r="I157" s="3" t="s">
        <v>34</v>
      </c>
      <c r="J157" s="3" t="s">
        <v>51</v>
      </c>
      <c r="K157" s="3" t="s">
        <v>67</v>
      </c>
      <c r="L157" s="7">
        <v>1000000</v>
      </c>
      <c r="M157" s="3" t="s">
        <v>23</v>
      </c>
      <c r="N157" s="3" t="s">
        <v>24</v>
      </c>
      <c r="O157" s="7">
        <v>965400</v>
      </c>
      <c r="P157" s="8"/>
      <c r="Q157" s="7" t="str">
        <f t="shared" si="8"/>
        <v/>
      </c>
    </row>
    <row r="158" ht="14.25" customHeight="1" spans="1:17">
      <c r="A158" s="3" t="s">
        <v>25</v>
      </c>
      <c r="B158" s="4">
        <v>45973</v>
      </c>
      <c r="C158" s="4">
        <v>46076</v>
      </c>
      <c r="D158" s="5">
        <v>0.541666666666667</v>
      </c>
      <c r="E158" s="6">
        <f t="shared" si="6"/>
        <v>2026</v>
      </c>
      <c r="F158" s="6">
        <f ca="1" t="shared" si="7"/>
        <v>-155</v>
      </c>
      <c r="G158" s="3" t="s">
        <v>18</v>
      </c>
      <c r="H158" s="3" t="s">
        <v>86</v>
      </c>
      <c r="I158" s="3" t="s">
        <v>170</v>
      </c>
      <c r="J158" s="3" t="s">
        <v>109</v>
      </c>
      <c r="K158" s="3" t="s">
        <v>52</v>
      </c>
      <c r="L158" s="7">
        <v>50000</v>
      </c>
      <c r="M158" s="3" t="s">
        <v>31</v>
      </c>
      <c r="N158" s="3" t="s">
        <v>47</v>
      </c>
      <c r="O158" s="7">
        <v>43400</v>
      </c>
      <c r="P158" s="8">
        <v>1</v>
      </c>
      <c r="Q158" s="7">
        <f t="shared" si="8"/>
        <v>43400</v>
      </c>
    </row>
    <row r="159" ht="14.25" hidden="1" customHeight="1" spans="1:17">
      <c r="A159" s="3" t="s">
        <v>48</v>
      </c>
      <c r="B159" s="4">
        <v>46041</v>
      </c>
      <c r="C159" s="4">
        <v>46075</v>
      </c>
      <c r="D159" s="5">
        <v>0.458333333333333</v>
      </c>
      <c r="E159" s="6">
        <f t="shared" si="6"/>
        <v>2026</v>
      </c>
      <c r="F159" s="6">
        <f ca="1" t="shared" si="7"/>
        <v>-156</v>
      </c>
      <c r="G159" s="3" t="s">
        <v>38</v>
      </c>
      <c r="H159" s="3" t="s">
        <v>99</v>
      </c>
      <c r="I159" s="3" t="s">
        <v>139</v>
      </c>
      <c r="J159" s="3" t="s">
        <v>21</v>
      </c>
      <c r="K159" s="3" t="s">
        <v>22</v>
      </c>
      <c r="L159" s="7">
        <v>350000</v>
      </c>
      <c r="M159" s="3" t="s">
        <v>31</v>
      </c>
      <c r="N159" s="3" t="s">
        <v>24</v>
      </c>
      <c r="O159" s="7">
        <v>307400</v>
      </c>
      <c r="P159" s="8"/>
      <c r="Q159" s="7" t="str">
        <f t="shared" si="8"/>
        <v/>
      </c>
    </row>
    <row r="160" ht="14.25" hidden="1" customHeight="1" spans="1:17">
      <c r="A160" s="3" t="s">
        <v>79</v>
      </c>
      <c r="B160" s="4">
        <v>45902</v>
      </c>
      <c r="C160" s="4">
        <v>46074</v>
      </c>
      <c r="D160" s="5">
        <v>0.520833333333333</v>
      </c>
      <c r="E160" s="6">
        <f t="shared" si="6"/>
        <v>2026</v>
      </c>
      <c r="F160" s="6">
        <f ca="1" t="shared" si="7"/>
        <v>-157</v>
      </c>
      <c r="G160" s="3" t="s">
        <v>18</v>
      </c>
      <c r="H160" s="3" t="s">
        <v>250</v>
      </c>
      <c r="I160" s="3" t="s">
        <v>201</v>
      </c>
      <c r="J160" s="3" t="s">
        <v>41</v>
      </c>
      <c r="K160" s="3" t="s">
        <v>76</v>
      </c>
      <c r="L160" s="7">
        <v>250000</v>
      </c>
      <c r="M160" s="3" t="s">
        <v>31</v>
      </c>
      <c r="N160" s="3" t="s">
        <v>24</v>
      </c>
      <c r="O160" s="7">
        <v>240500</v>
      </c>
      <c r="P160" s="8">
        <v>0.6</v>
      </c>
      <c r="Q160" s="7">
        <f t="shared" si="8"/>
        <v>144300</v>
      </c>
    </row>
    <row r="161" ht="14.25" hidden="1" customHeight="1" spans="1:17">
      <c r="A161" s="3" t="s">
        <v>17</v>
      </c>
      <c r="B161" s="4">
        <v>45943</v>
      </c>
      <c r="C161" s="4">
        <v>46072</v>
      </c>
      <c r="D161" s="5">
        <v>0.572916666666667</v>
      </c>
      <c r="E161" s="6">
        <f t="shared" si="6"/>
        <v>2026</v>
      </c>
      <c r="F161" s="6">
        <f ca="1" t="shared" si="7"/>
        <v>-159</v>
      </c>
      <c r="G161" s="3" t="s">
        <v>26</v>
      </c>
      <c r="H161" s="3" t="s">
        <v>251</v>
      </c>
      <c r="I161" s="3" t="s">
        <v>118</v>
      </c>
      <c r="J161" s="3" t="s">
        <v>21</v>
      </c>
      <c r="K161" s="3" t="s">
        <v>98</v>
      </c>
      <c r="L161" s="7">
        <v>500000</v>
      </c>
      <c r="M161" s="3" t="s">
        <v>77</v>
      </c>
      <c r="N161" s="3" t="s">
        <v>24</v>
      </c>
      <c r="O161" s="7">
        <v>425800</v>
      </c>
      <c r="P161" s="8">
        <v>0.4</v>
      </c>
      <c r="Q161" s="7">
        <f t="shared" si="8"/>
        <v>170320</v>
      </c>
    </row>
    <row r="162" ht="14.25" customHeight="1" spans="1:17">
      <c r="A162" s="3" t="s">
        <v>25</v>
      </c>
      <c r="B162" s="4">
        <v>45995</v>
      </c>
      <c r="C162" s="4">
        <v>46071</v>
      </c>
      <c r="D162" s="5">
        <v>0.46875</v>
      </c>
      <c r="E162" s="6">
        <f t="shared" si="6"/>
        <v>2026</v>
      </c>
      <c r="F162" s="6">
        <f ca="1" t="shared" si="7"/>
        <v>-160</v>
      </c>
      <c r="G162" s="3" t="s">
        <v>26</v>
      </c>
      <c r="H162" s="3" t="s">
        <v>252</v>
      </c>
      <c r="I162" s="3" t="s">
        <v>170</v>
      </c>
      <c r="J162" s="3" t="s">
        <v>109</v>
      </c>
      <c r="K162" s="3" t="s">
        <v>62</v>
      </c>
      <c r="L162" s="7">
        <v>80000</v>
      </c>
      <c r="M162" s="3" t="s">
        <v>31</v>
      </c>
      <c r="N162" s="3" t="s">
        <v>32</v>
      </c>
      <c r="O162" s="7">
        <v>75800</v>
      </c>
      <c r="P162" s="8">
        <v>1</v>
      </c>
      <c r="Q162" s="7">
        <f t="shared" si="8"/>
        <v>75800</v>
      </c>
    </row>
    <row r="163" ht="14.25" hidden="1" customHeight="1" spans="1:17">
      <c r="A163" s="3" t="s">
        <v>79</v>
      </c>
      <c r="B163" s="4">
        <v>45942</v>
      </c>
      <c r="C163" s="4">
        <v>46071</v>
      </c>
      <c r="D163" s="5">
        <v>0.572916666666667</v>
      </c>
      <c r="E163" s="6">
        <f t="shared" si="6"/>
        <v>2026</v>
      </c>
      <c r="F163" s="6">
        <f ca="1" t="shared" si="7"/>
        <v>-160</v>
      </c>
      <c r="G163" s="3" t="s">
        <v>26</v>
      </c>
      <c r="H163" s="3" t="s">
        <v>193</v>
      </c>
      <c r="I163" s="3" t="s">
        <v>81</v>
      </c>
      <c r="J163" s="3" t="s">
        <v>21</v>
      </c>
      <c r="K163" s="3" t="s">
        <v>67</v>
      </c>
      <c r="L163" s="7">
        <v>1500000</v>
      </c>
      <c r="M163" s="3" t="s">
        <v>31</v>
      </c>
      <c r="N163" s="3" t="s">
        <v>24</v>
      </c>
      <c r="O163" s="7">
        <v>1373800</v>
      </c>
      <c r="P163" s="8"/>
      <c r="Q163" s="7" t="str">
        <f t="shared" si="8"/>
        <v/>
      </c>
    </row>
    <row r="164" ht="14.25" hidden="1" customHeight="1" spans="1:17">
      <c r="A164" s="3" t="s">
        <v>25</v>
      </c>
      <c r="B164" s="4">
        <v>45995</v>
      </c>
      <c r="C164" s="4">
        <v>46069</v>
      </c>
      <c r="D164" s="5">
        <v>0.416666666666667</v>
      </c>
      <c r="E164" s="6">
        <f t="shared" si="6"/>
        <v>2026</v>
      </c>
      <c r="F164" s="6">
        <f ca="1" t="shared" si="7"/>
        <v>-162</v>
      </c>
      <c r="G164" s="3" t="s">
        <v>26</v>
      </c>
      <c r="H164" s="3" t="s">
        <v>74</v>
      </c>
      <c r="I164" s="3" t="s">
        <v>207</v>
      </c>
      <c r="J164" s="3" t="s">
        <v>29</v>
      </c>
      <c r="K164" s="3" t="s">
        <v>98</v>
      </c>
      <c r="L164" s="7">
        <v>500000</v>
      </c>
      <c r="M164" s="3" t="s">
        <v>31</v>
      </c>
      <c r="N164" s="3" t="s">
        <v>148</v>
      </c>
      <c r="O164" s="7">
        <v>466000</v>
      </c>
      <c r="P164" s="8">
        <v>0.4</v>
      </c>
      <c r="Q164" s="7">
        <f t="shared" si="8"/>
        <v>186400</v>
      </c>
    </row>
    <row r="165" ht="14.25" hidden="1" customHeight="1" spans="1:17">
      <c r="A165" s="3" t="s">
        <v>25</v>
      </c>
      <c r="B165" s="4">
        <v>45971</v>
      </c>
      <c r="C165" s="4">
        <v>46067</v>
      </c>
      <c r="D165" s="5">
        <v>0.510416666666667</v>
      </c>
      <c r="E165" s="6">
        <f t="shared" si="6"/>
        <v>2026</v>
      </c>
      <c r="F165" s="6">
        <f ca="1" t="shared" si="7"/>
        <v>-164</v>
      </c>
      <c r="G165" s="3" t="s">
        <v>18</v>
      </c>
      <c r="H165" s="3" t="s">
        <v>253</v>
      </c>
      <c r="I165" s="3" t="s">
        <v>68</v>
      </c>
      <c r="J165" s="3" t="s">
        <v>41</v>
      </c>
      <c r="K165" s="3" t="s">
        <v>76</v>
      </c>
      <c r="L165" s="7">
        <v>1000000</v>
      </c>
      <c r="M165" s="3" t="s">
        <v>68</v>
      </c>
      <c r="N165" s="3" t="s">
        <v>24</v>
      </c>
      <c r="O165" s="7">
        <v>899100</v>
      </c>
      <c r="P165" s="8">
        <v>0.6</v>
      </c>
      <c r="Q165" s="7">
        <f t="shared" si="8"/>
        <v>539460</v>
      </c>
    </row>
    <row r="166" ht="14.25" hidden="1" customHeight="1" spans="1:17">
      <c r="A166" s="3" t="s">
        <v>192</v>
      </c>
      <c r="B166" s="4">
        <v>45943</v>
      </c>
      <c r="C166" s="4">
        <v>46060</v>
      </c>
      <c r="D166" s="5">
        <v>0.59375</v>
      </c>
      <c r="E166" s="6">
        <f t="shared" si="6"/>
        <v>2026</v>
      </c>
      <c r="F166" s="6">
        <f ca="1" t="shared" si="7"/>
        <v>-171</v>
      </c>
      <c r="G166" s="3" t="s">
        <v>18</v>
      </c>
      <c r="H166" s="3" t="s">
        <v>86</v>
      </c>
      <c r="I166" s="3" t="s">
        <v>214</v>
      </c>
      <c r="J166" s="3" t="s">
        <v>113</v>
      </c>
      <c r="K166" s="3" t="s">
        <v>36</v>
      </c>
      <c r="L166" s="7">
        <v>350000</v>
      </c>
      <c r="M166" s="3" t="s">
        <v>56</v>
      </c>
      <c r="N166" s="3" t="s">
        <v>24</v>
      </c>
      <c r="O166" s="7">
        <v>343200</v>
      </c>
      <c r="P166" s="8">
        <v>0.2</v>
      </c>
      <c r="Q166" s="7">
        <f t="shared" si="8"/>
        <v>68640</v>
      </c>
    </row>
    <row r="167" ht="14.25" hidden="1" customHeight="1" spans="1:17">
      <c r="A167" s="3" t="s">
        <v>43</v>
      </c>
      <c r="B167" s="4">
        <v>46019</v>
      </c>
      <c r="C167" s="4">
        <v>46056</v>
      </c>
      <c r="D167" s="5">
        <v>0.479166666666667</v>
      </c>
      <c r="E167" s="6">
        <f t="shared" si="6"/>
        <v>2026</v>
      </c>
      <c r="F167" s="6">
        <f ca="1" t="shared" si="7"/>
        <v>-175</v>
      </c>
      <c r="G167" s="3" t="s">
        <v>38</v>
      </c>
      <c r="H167" s="3" t="s">
        <v>99</v>
      </c>
      <c r="I167" s="3" t="s">
        <v>45</v>
      </c>
      <c r="J167" s="3" t="s">
        <v>109</v>
      </c>
      <c r="K167" s="3" t="s">
        <v>71</v>
      </c>
      <c r="L167" s="7">
        <v>500000</v>
      </c>
      <c r="M167" s="3" t="s">
        <v>31</v>
      </c>
      <c r="N167" s="3" t="s">
        <v>47</v>
      </c>
      <c r="O167" s="7">
        <v>496400</v>
      </c>
      <c r="P167" s="8">
        <v>0.2</v>
      </c>
      <c r="Q167" s="7">
        <f t="shared" si="8"/>
        <v>99280</v>
      </c>
    </row>
    <row r="168" ht="14.25" hidden="1" customHeight="1" spans="1:17">
      <c r="A168" s="3" t="s">
        <v>73</v>
      </c>
      <c r="B168" s="4">
        <v>45874</v>
      </c>
      <c r="C168" s="4">
        <v>46053</v>
      </c>
      <c r="D168" s="5">
        <v>0.59375</v>
      </c>
      <c r="E168" s="6">
        <f t="shared" si="6"/>
        <v>2026</v>
      </c>
      <c r="F168" s="6">
        <f ca="1" t="shared" si="7"/>
        <v>-178</v>
      </c>
      <c r="G168" s="3" t="s">
        <v>26</v>
      </c>
      <c r="H168" s="3" t="s">
        <v>211</v>
      </c>
      <c r="I168" s="3" t="s">
        <v>75</v>
      </c>
      <c r="J168" s="3" t="s">
        <v>41</v>
      </c>
      <c r="K168" s="3" t="s">
        <v>67</v>
      </c>
      <c r="L168" s="7">
        <v>350000</v>
      </c>
      <c r="M168" s="3" t="s">
        <v>77</v>
      </c>
      <c r="N168" s="3" t="s">
        <v>24</v>
      </c>
      <c r="O168" s="7">
        <v>331300</v>
      </c>
      <c r="P168" s="8"/>
      <c r="Q168" s="7" t="str">
        <f t="shared" si="8"/>
        <v/>
      </c>
    </row>
    <row r="169" ht="14.25" customHeight="1" spans="1:17">
      <c r="A169" s="3" t="s">
        <v>54</v>
      </c>
      <c r="B169" s="4">
        <v>45919</v>
      </c>
      <c r="C169" s="4">
        <v>46053</v>
      </c>
      <c r="D169" s="5">
        <v>0.458333333333333</v>
      </c>
      <c r="E169" s="6">
        <f t="shared" si="6"/>
        <v>2026</v>
      </c>
      <c r="F169" s="6">
        <f ca="1" t="shared" si="7"/>
        <v>-178</v>
      </c>
      <c r="G169" s="3" t="s">
        <v>26</v>
      </c>
      <c r="H169" s="3" t="s">
        <v>80</v>
      </c>
      <c r="I169" s="3" t="s">
        <v>254</v>
      </c>
      <c r="J169" s="3" t="s">
        <v>29</v>
      </c>
      <c r="K169" s="3" t="s">
        <v>62</v>
      </c>
      <c r="L169" s="7">
        <v>180000</v>
      </c>
      <c r="M169" s="3" t="s">
        <v>31</v>
      </c>
      <c r="N169" s="3" t="s">
        <v>78</v>
      </c>
      <c r="O169" s="7">
        <v>185800</v>
      </c>
      <c r="P169" s="8">
        <v>1</v>
      </c>
      <c r="Q169" s="7">
        <f t="shared" si="8"/>
        <v>185800</v>
      </c>
    </row>
    <row r="170" ht="14.25" hidden="1" customHeight="1" spans="1:17">
      <c r="A170" s="3" t="s">
        <v>73</v>
      </c>
      <c r="B170" s="4">
        <v>45879</v>
      </c>
      <c r="C170" s="4">
        <v>46051</v>
      </c>
      <c r="D170" s="5">
        <v>0.635416666666667</v>
      </c>
      <c r="E170" s="6">
        <f t="shared" si="6"/>
        <v>2026</v>
      </c>
      <c r="F170" s="6">
        <f ca="1" t="shared" si="7"/>
        <v>-180</v>
      </c>
      <c r="G170" s="3" t="s">
        <v>26</v>
      </c>
      <c r="H170" s="3" t="s">
        <v>74</v>
      </c>
      <c r="I170" s="3" t="s">
        <v>90</v>
      </c>
      <c r="J170" s="3" t="s">
        <v>41</v>
      </c>
      <c r="K170" s="3" t="s">
        <v>67</v>
      </c>
      <c r="L170" s="7">
        <v>180000</v>
      </c>
      <c r="M170" s="3" t="s">
        <v>60</v>
      </c>
      <c r="N170" s="3" t="s">
        <v>24</v>
      </c>
      <c r="O170" s="7">
        <v>186800</v>
      </c>
      <c r="P170" s="8"/>
      <c r="Q170" s="7" t="str">
        <f t="shared" si="8"/>
        <v/>
      </c>
    </row>
    <row r="171" ht="14.25" hidden="1" customHeight="1" spans="1:17">
      <c r="A171" s="3" t="s">
        <v>17</v>
      </c>
      <c r="B171" s="4">
        <v>45913</v>
      </c>
      <c r="C171" s="4">
        <v>46049</v>
      </c>
      <c r="D171" s="5">
        <v>0.520833333333333</v>
      </c>
      <c r="E171" s="6">
        <f t="shared" si="6"/>
        <v>2026</v>
      </c>
      <c r="F171" s="6">
        <f ca="1" t="shared" si="7"/>
        <v>-182</v>
      </c>
      <c r="G171" s="3" t="s">
        <v>18</v>
      </c>
      <c r="H171" s="3" t="s">
        <v>255</v>
      </c>
      <c r="I171" s="3" t="s">
        <v>107</v>
      </c>
      <c r="J171" s="3" t="s">
        <v>29</v>
      </c>
      <c r="K171" s="3" t="s">
        <v>46</v>
      </c>
      <c r="L171" s="7">
        <v>120000</v>
      </c>
      <c r="M171" s="3" t="s">
        <v>56</v>
      </c>
      <c r="N171" s="3" t="s">
        <v>128</v>
      </c>
      <c r="O171" s="7">
        <v>105400</v>
      </c>
      <c r="P171" s="8"/>
      <c r="Q171" s="7" t="str">
        <f t="shared" si="8"/>
        <v/>
      </c>
    </row>
    <row r="172" ht="14.25" customHeight="1" spans="1:17">
      <c r="A172" s="3" t="s">
        <v>79</v>
      </c>
      <c r="B172" s="4">
        <v>45887</v>
      </c>
      <c r="C172" s="4">
        <v>46047</v>
      </c>
      <c r="D172" s="5">
        <v>0.645833333333333</v>
      </c>
      <c r="E172" s="6">
        <f t="shared" si="6"/>
        <v>2026</v>
      </c>
      <c r="F172" s="6">
        <f ca="1" t="shared" si="7"/>
        <v>-184</v>
      </c>
      <c r="G172" s="3" t="s">
        <v>18</v>
      </c>
      <c r="H172" s="3" t="s">
        <v>256</v>
      </c>
      <c r="I172" s="3" t="s">
        <v>201</v>
      </c>
      <c r="J172" s="3" t="s">
        <v>41</v>
      </c>
      <c r="K172" s="3" t="s">
        <v>52</v>
      </c>
      <c r="L172" s="7">
        <v>350000</v>
      </c>
      <c r="M172" s="3" t="s">
        <v>31</v>
      </c>
      <c r="N172" s="3" t="s">
        <v>24</v>
      </c>
      <c r="O172" s="7">
        <v>327400</v>
      </c>
      <c r="P172" s="8">
        <v>1</v>
      </c>
      <c r="Q172" s="7">
        <f t="shared" si="8"/>
        <v>327400</v>
      </c>
    </row>
    <row r="173" ht="14.25" hidden="1" customHeight="1" spans="1:17">
      <c r="A173" s="3" t="s">
        <v>73</v>
      </c>
      <c r="B173" s="4">
        <v>45904</v>
      </c>
      <c r="C173" s="4">
        <v>46043</v>
      </c>
      <c r="D173" s="5">
        <v>0.59375</v>
      </c>
      <c r="E173" s="6">
        <f t="shared" si="6"/>
        <v>2026</v>
      </c>
      <c r="F173" s="6">
        <f ca="1" t="shared" si="7"/>
        <v>-188</v>
      </c>
      <c r="G173" s="3" t="s">
        <v>18</v>
      </c>
      <c r="H173" s="3" t="s">
        <v>89</v>
      </c>
      <c r="I173" s="3" t="s">
        <v>248</v>
      </c>
      <c r="J173" s="3" t="s">
        <v>51</v>
      </c>
      <c r="K173" s="3" t="s">
        <v>67</v>
      </c>
      <c r="L173" s="7">
        <v>1000000</v>
      </c>
      <c r="M173" s="3" t="s">
        <v>31</v>
      </c>
      <c r="N173" s="3" t="s">
        <v>47</v>
      </c>
      <c r="O173" s="7">
        <v>974400</v>
      </c>
      <c r="P173" s="8"/>
      <c r="Q173" s="7" t="str">
        <f t="shared" si="8"/>
        <v/>
      </c>
    </row>
    <row r="174" ht="14.25" hidden="1" customHeight="1" spans="1:17">
      <c r="A174" s="3" t="s">
        <v>17</v>
      </c>
      <c r="B174" s="4">
        <v>45935</v>
      </c>
      <c r="C174" s="4">
        <v>46039</v>
      </c>
      <c r="D174" s="5">
        <v>0.635416666666667</v>
      </c>
      <c r="E174" s="6">
        <f t="shared" si="6"/>
        <v>2026</v>
      </c>
      <c r="F174" s="6">
        <f ca="1" t="shared" si="7"/>
        <v>-192</v>
      </c>
      <c r="G174" s="3" t="s">
        <v>18</v>
      </c>
      <c r="H174" s="3" t="s">
        <v>210</v>
      </c>
      <c r="I174" s="3" t="s">
        <v>257</v>
      </c>
      <c r="J174" s="3" t="s">
        <v>41</v>
      </c>
      <c r="K174" s="3" t="s">
        <v>67</v>
      </c>
      <c r="L174" s="7">
        <v>1000000</v>
      </c>
      <c r="M174" s="3" t="s">
        <v>68</v>
      </c>
      <c r="N174" s="3" t="s">
        <v>148</v>
      </c>
      <c r="O174" s="7">
        <v>1043700</v>
      </c>
      <c r="P174" s="8"/>
      <c r="Q174" s="7" t="str">
        <f t="shared" si="8"/>
        <v/>
      </c>
    </row>
    <row r="175" ht="14.25" hidden="1" customHeight="1" spans="1:17">
      <c r="A175" s="3" t="s">
        <v>17</v>
      </c>
      <c r="B175" s="4">
        <v>45956</v>
      </c>
      <c r="C175" s="4">
        <v>46034</v>
      </c>
      <c r="D175" s="5">
        <v>0.489583333333333</v>
      </c>
      <c r="E175" s="6">
        <f t="shared" si="6"/>
        <v>2026</v>
      </c>
      <c r="F175" s="6">
        <f ca="1" t="shared" si="7"/>
        <v>-197</v>
      </c>
      <c r="G175" s="3" t="s">
        <v>26</v>
      </c>
      <c r="H175" s="3" t="s">
        <v>251</v>
      </c>
      <c r="I175" s="3" t="s">
        <v>118</v>
      </c>
      <c r="J175" s="3" t="s">
        <v>51</v>
      </c>
      <c r="K175" s="3" t="s">
        <v>46</v>
      </c>
      <c r="L175" s="7">
        <v>500000</v>
      </c>
      <c r="M175" s="3" t="s">
        <v>77</v>
      </c>
      <c r="N175" s="3" t="s">
        <v>24</v>
      </c>
      <c r="O175" s="7">
        <v>465400</v>
      </c>
      <c r="P175" s="8"/>
      <c r="Q175" s="7" t="str">
        <f t="shared" si="8"/>
        <v/>
      </c>
    </row>
    <row r="176" ht="14.25" hidden="1" customHeight="1" spans="1:17">
      <c r="A176" s="3" t="s">
        <v>17</v>
      </c>
      <c r="B176" s="4">
        <v>45889</v>
      </c>
      <c r="C176" s="4">
        <v>46032</v>
      </c>
      <c r="D176" s="5">
        <v>0.46875</v>
      </c>
      <c r="E176" s="6">
        <f t="shared" si="6"/>
        <v>2026</v>
      </c>
      <c r="F176" s="6">
        <f ca="1" t="shared" si="7"/>
        <v>-199</v>
      </c>
      <c r="G176" s="3" t="s">
        <v>26</v>
      </c>
      <c r="H176" s="3" t="s">
        <v>258</v>
      </c>
      <c r="I176" s="3" t="s">
        <v>257</v>
      </c>
      <c r="J176" s="3" t="s">
        <v>35</v>
      </c>
      <c r="K176" s="3" t="s">
        <v>36</v>
      </c>
      <c r="L176" s="7">
        <v>750000</v>
      </c>
      <c r="M176" s="3" t="s">
        <v>101</v>
      </c>
      <c r="N176" s="3" t="s">
        <v>24</v>
      </c>
      <c r="O176" s="7">
        <v>660600</v>
      </c>
      <c r="P176" s="8">
        <v>0.2</v>
      </c>
      <c r="Q176" s="7">
        <f t="shared" si="8"/>
        <v>132120</v>
      </c>
    </row>
    <row r="177" ht="14.25" customHeight="1" spans="1:17">
      <c r="A177" s="3" t="s">
        <v>25</v>
      </c>
      <c r="B177" s="4">
        <v>45988</v>
      </c>
      <c r="C177" s="4">
        <v>46029</v>
      </c>
      <c r="D177" s="5">
        <v>0.552083333333333</v>
      </c>
      <c r="E177" s="6">
        <f t="shared" si="6"/>
        <v>2026</v>
      </c>
      <c r="F177" s="6">
        <f ca="1" t="shared" si="7"/>
        <v>-202</v>
      </c>
      <c r="G177" s="3" t="s">
        <v>26</v>
      </c>
      <c r="H177" s="3" t="s">
        <v>58</v>
      </c>
      <c r="I177" s="3" t="s">
        <v>207</v>
      </c>
      <c r="J177" s="3" t="s">
        <v>35</v>
      </c>
      <c r="K177" s="3" t="s">
        <v>62</v>
      </c>
      <c r="L177" s="7">
        <v>120000</v>
      </c>
      <c r="M177" s="3" t="s">
        <v>31</v>
      </c>
      <c r="N177" s="3" t="s">
        <v>24</v>
      </c>
      <c r="O177" s="7">
        <v>120800</v>
      </c>
      <c r="P177" s="8">
        <v>1</v>
      </c>
      <c r="Q177" s="7">
        <f t="shared" si="8"/>
        <v>120800</v>
      </c>
    </row>
    <row r="178" ht="14.25" hidden="1" customHeight="1" spans="1:17">
      <c r="A178" s="3" t="s">
        <v>17</v>
      </c>
      <c r="B178" s="4">
        <v>45985</v>
      </c>
      <c r="C178" s="4">
        <v>46024</v>
      </c>
      <c r="D178" s="5">
        <v>0.46875</v>
      </c>
      <c r="E178" s="6">
        <f t="shared" si="6"/>
        <v>2026</v>
      </c>
      <c r="F178" s="6">
        <f ca="1" t="shared" si="7"/>
        <v>-207</v>
      </c>
      <c r="G178" s="3" t="s">
        <v>18</v>
      </c>
      <c r="H178" s="3" t="s">
        <v>114</v>
      </c>
      <c r="I178" s="3" t="s">
        <v>122</v>
      </c>
      <c r="J178" s="3" t="s">
        <v>21</v>
      </c>
      <c r="K178" s="3" t="s">
        <v>71</v>
      </c>
      <c r="L178" s="7">
        <v>500000</v>
      </c>
      <c r="M178" s="3" t="s">
        <v>42</v>
      </c>
      <c r="N178" s="3" t="s">
        <v>24</v>
      </c>
      <c r="O178" s="7">
        <v>524100</v>
      </c>
      <c r="P178" s="8">
        <v>0.2</v>
      </c>
      <c r="Q178" s="7">
        <f t="shared" si="8"/>
        <v>104820</v>
      </c>
    </row>
    <row r="179" ht="14.25" hidden="1" customHeight="1" spans="1:17">
      <c r="A179" s="3" t="s">
        <v>130</v>
      </c>
      <c r="B179" s="4">
        <v>45994</v>
      </c>
      <c r="C179" s="4">
        <v>46023</v>
      </c>
      <c r="D179" s="5">
        <v>0.604166666666667</v>
      </c>
      <c r="E179" s="6">
        <f t="shared" si="6"/>
        <v>2026</v>
      </c>
      <c r="F179" s="6">
        <f ca="1" t="shared" si="7"/>
        <v>-208</v>
      </c>
      <c r="G179" s="3" t="s">
        <v>18</v>
      </c>
      <c r="H179" s="3" t="s">
        <v>178</v>
      </c>
      <c r="I179" s="3" t="s">
        <v>132</v>
      </c>
      <c r="J179" s="3" t="s">
        <v>109</v>
      </c>
      <c r="K179" s="3" t="s">
        <v>97</v>
      </c>
      <c r="L179" s="7">
        <v>80000</v>
      </c>
      <c r="M179" s="3" t="s">
        <v>37</v>
      </c>
      <c r="N179" s="3" t="s">
        <v>24</v>
      </c>
      <c r="O179" s="7">
        <v>74700</v>
      </c>
      <c r="P179" s="8"/>
      <c r="Q179" s="7" t="str">
        <f t="shared" si="8"/>
        <v/>
      </c>
    </row>
    <row r="180" ht="14.25" hidden="1" customHeight="1" spans="1:17">
      <c r="A180" s="3" t="s">
        <v>17</v>
      </c>
      <c r="B180" s="4">
        <v>45879</v>
      </c>
      <c r="C180" s="4">
        <v>46019</v>
      </c>
      <c r="D180" s="5">
        <v>0.604166666666667</v>
      </c>
      <c r="E180" s="6">
        <f t="shared" si="6"/>
        <v>2025</v>
      </c>
      <c r="F180" s="6">
        <f ca="1" t="shared" si="7"/>
        <v>-212</v>
      </c>
      <c r="G180" s="3" t="s">
        <v>18</v>
      </c>
      <c r="H180" s="3" t="s">
        <v>259</v>
      </c>
      <c r="I180" s="3" t="s">
        <v>151</v>
      </c>
      <c r="J180" s="3" t="s">
        <v>41</v>
      </c>
      <c r="K180" s="3" t="s">
        <v>93</v>
      </c>
      <c r="L180" s="7">
        <v>80000</v>
      </c>
      <c r="M180" s="3" t="s">
        <v>53</v>
      </c>
      <c r="N180" s="3" t="s">
        <v>24</v>
      </c>
      <c r="O180" s="7">
        <v>78100</v>
      </c>
      <c r="P180" s="8"/>
      <c r="Q180" s="7" t="str">
        <f t="shared" si="8"/>
        <v/>
      </c>
    </row>
    <row r="181" ht="14.25" hidden="1" customHeight="1" spans="1:17">
      <c r="A181" s="3" t="s">
        <v>17</v>
      </c>
      <c r="B181" s="4">
        <v>45976</v>
      </c>
      <c r="C181" s="4">
        <v>46018</v>
      </c>
      <c r="D181" s="5">
        <v>0.416666666666667</v>
      </c>
      <c r="E181" s="6">
        <f t="shared" si="6"/>
        <v>2025</v>
      </c>
      <c r="F181" s="6">
        <f ca="1" t="shared" si="7"/>
        <v>-213</v>
      </c>
      <c r="G181" s="3" t="s">
        <v>26</v>
      </c>
      <c r="H181" s="3" t="s">
        <v>260</v>
      </c>
      <c r="I181" s="3" t="s">
        <v>257</v>
      </c>
      <c r="J181" s="3" t="s">
        <v>29</v>
      </c>
      <c r="K181" s="3" t="s">
        <v>97</v>
      </c>
      <c r="L181" s="7">
        <v>80000</v>
      </c>
      <c r="M181" s="3" t="s">
        <v>101</v>
      </c>
      <c r="N181" s="3" t="s">
        <v>24</v>
      </c>
      <c r="O181" s="7">
        <v>73200</v>
      </c>
      <c r="P181" s="8"/>
      <c r="Q181" s="7" t="str">
        <f t="shared" si="8"/>
        <v/>
      </c>
    </row>
    <row r="182" ht="14.25" hidden="1" customHeight="1" spans="1:17">
      <c r="A182" s="3" t="s">
        <v>125</v>
      </c>
      <c r="B182" s="4">
        <v>45970</v>
      </c>
      <c r="C182" s="4">
        <v>46017</v>
      </c>
      <c r="D182" s="5">
        <v>0.625</v>
      </c>
      <c r="E182" s="6">
        <f t="shared" si="6"/>
        <v>2025</v>
      </c>
      <c r="F182" s="6">
        <f ca="1" t="shared" si="7"/>
        <v>-214</v>
      </c>
      <c r="G182" s="3" t="s">
        <v>26</v>
      </c>
      <c r="H182" s="3" t="s">
        <v>83</v>
      </c>
      <c r="I182" s="3" t="s">
        <v>127</v>
      </c>
      <c r="J182" s="3" t="s">
        <v>51</v>
      </c>
      <c r="K182" s="3" t="s">
        <v>97</v>
      </c>
      <c r="L182" s="7">
        <v>80000</v>
      </c>
      <c r="M182" s="3" t="s">
        <v>31</v>
      </c>
      <c r="N182" s="3" t="s">
        <v>78</v>
      </c>
      <c r="O182" s="7">
        <v>74900</v>
      </c>
      <c r="P182" s="8"/>
      <c r="Q182" s="7" t="str">
        <f t="shared" si="8"/>
        <v/>
      </c>
    </row>
    <row r="183" ht="14.25" hidden="1" customHeight="1" spans="1:17">
      <c r="A183" s="3" t="s">
        <v>25</v>
      </c>
      <c r="B183" s="4">
        <v>45956</v>
      </c>
      <c r="C183" s="4">
        <v>46012</v>
      </c>
      <c r="D183" s="5">
        <v>0.53125</v>
      </c>
      <c r="E183" s="6">
        <f t="shared" si="6"/>
        <v>2025</v>
      </c>
      <c r="F183" s="6">
        <f ca="1" t="shared" si="7"/>
        <v>-219</v>
      </c>
      <c r="G183" s="3" t="s">
        <v>38</v>
      </c>
      <c r="H183" s="3" t="s">
        <v>261</v>
      </c>
      <c r="I183" s="3" t="s">
        <v>262</v>
      </c>
      <c r="J183" s="3" t="s">
        <v>29</v>
      </c>
      <c r="K183" s="3" t="s">
        <v>67</v>
      </c>
      <c r="L183" s="7">
        <v>750000</v>
      </c>
      <c r="M183" s="3" t="s">
        <v>31</v>
      </c>
      <c r="N183" s="3" t="s">
        <v>24</v>
      </c>
      <c r="O183" s="7">
        <v>717800</v>
      </c>
      <c r="P183" s="8"/>
      <c r="Q183" s="7" t="str">
        <f t="shared" si="8"/>
        <v/>
      </c>
    </row>
    <row r="184" ht="14.25" customHeight="1" spans="1:17">
      <c r="A184" s="3" t="s">
        <v>25</v>
      </c>
      <c r="B184" s="4">
        <v>45859</v>
      </c>
      <c r="C184" s="4">
        <v>46011</v>
      </c>
      <c r="D184" s="5">
        <v>0.59375</v>
      </c>
      <c r="E184" s="6">
        <f t="shared" si="6"/>
        <v>2025</v>
      </c>
      <c r="F184" s="6">
        <f ca="1" t="shared" si="7"/>
        <v>-220</v>
      </c>
      <c r="G184" s="3" t="s">
        <v>26</v>
      </c>
      <c r="H184" s="3" t="s">
        <v>58</v>
      </c>
      <c r="I184" s="3" t="s">
        <v>95</v>
      </c>
      <c r="J184" s="3" t="s">
        <v>51</v>
      </c>
      <c r="K184" s="3" t="s">
        <v>52</v>
      </c>
      <c r="L184" s="7">
        <v>350000</v>
      </c>
      <c r="M184" s="3" t="s">
        <v>31</v>
      </c>
      <c r="N184" s="3" t="s">
        <v>57</v>
      </c>
      <c r="O184" s="7">
        <v>329000</v>
      </c>
      <c r="P184" s="8">
        <v>1</v>
      </c>
      <c r="Q184" s="7">
        <f t="shared" si="8"/>
        <v>329000</v>
      </c>
    </row>
    <row r="185" ht="14.25" hidden="1" customHeight="1" spans="1:17">
      <c r="A185" s="3" t="s">
        <v>17</v>
      </c>
      <c r="B185" s="4">
        <v>45836</v>
      </c>
      <c r="C185" s="4">
        <v>46008</v>
      </c>
      <c r="D185" s="5">
        <v>0.427083333333333</v>
      </c>
      <c r="E185" s="6">
        <f t="shared" si="6"/>
        <v>2025</v>
      </c>
      <c r="F185" s="6">
        <f ca="1" t="shared" si="7"/>
        <v>-223</v>
      </c>
      <c r="G185" s="3" t="s">
        <v>26</v>
      </c>
      <c r="H185" s="3" t="s">
        <v>263</v>
      </c>
      <c r="I185" s="3" t="s">
        <v>264</v>
      </c>
      <c r="J185" s="3" t="s">
        <v>51</v>
      </c>
      <c r="K185" s="3" t="s">
        <v>140</v>
      </c>
      <c r="L185" s="7">
        <v>250000</v>
      </c>
      <c r="M185" s="3" t="s">
        <v>68</v>
      </c>
      <c r="N185" s="3" t="s">
        <v>24</v>
      </c>
      <c r="O185" s="7">
        <v>217800</v>
      </c>
      <c r="P185" s="8"/>
      <c r="Q185" s="7" t="str">
        <f t="shared" si="8"/>
        <v/>
      </c>
    </row>
    <row r="186" ht="14.25" customHeight="1" spans="1:17">
      <c r="A186" s="3" t="s">
        <v>17</v>
      </c>
      <c r="B186" s="4">
        <v>45853</v>
      </c>
      <c r="C186" s="4">
        <v>45994</v>
      </c>
      <c r="D186" s="5">
        <v>0.458333333333333</v>
      </c>
      <c r="E186" s="6">
        <f t="shared" si="6"/>
        <v>2025</v>
      </c>
      <c r="F186" s="6">
        <f ca="1" t="shared" si="7"/>
        <v>-237</v>
      </c>
      <c r="G186" s="3" t="s">
        <v>18</v>
      </c>
      <c r="H186" s="3" t="s">
        <v>265</v>
      </c>
      <c r="I186" s="3" t="s">
        <v>206</v>
      </c>
      <c r="J186" s="3" t="s">
        <v>41</v>
      </c>
      <c r="K186" s="3" t="s">
        <v>62</v>
      </c>
      <c r="L186" s="7">
        <v>180000</v>
      </c>
      <c r="M186" s="3" t="s">
        <v>31</v>
      </c>
      <c r="N186" s="3" t="s">
        <v>24</v>
      </c>
      <c r="O186" s="7">
        <v>168000</v>
      </c>
      <c r="P186" s="8">
        <v>1</v>
      </c>
      <c r="Q186" s="7">
        <f t="shared" si="8"/>
        <v>168000</v>
      </c>
    </row>
    <row r="187" ht="14.25" hidden="1" customHeight="1" spans="1:17">
      <c r="A187" s="3" t="s">
        <v>208</v>
      </c>
      <c r="B187" s="4">
        <v>45880</v>
      </c>
      <c r="C187" s="4">
        <v>45993</v>
      </c>
      <c r="D187" s="5">
        <v>0.541666666666667</v>
      </c>
      <c r="E187" s="6">
        <f t="shared" si="6"/>
        <v>2025</v>
      </c>
      <c r="F187" s="6">
        <f ca="1" t="shared" si="7"/>
        <v>-238</v>
      </c>
      <c r="G187" s="3" t="s">
        <v>18</v>
      </c>
      <c r="H187" s="3" t="s">
        <v>266</v>
      </c>
      <c r="I187" s="3" t="s">
        <v>209</v>
      </c>
      <c r="J187" s="3" t="s">
        <v>41</v>
      </c>
      <c r="K187" s="3" t="s">
        <v>215</v>
      </c>
      <c r="L187" s="7">
        <v>1000000</v>
      </c>
      <c r="M187" s="3" t="s">
        <v>31</v>
      </c>
      <c r="N187" s="3" t="s">
        <v>24</v>
      </c>
      <c r="O187" s="7">
        <v>971700</v>
      </c>
      <c r="P187" s="8"/>
      <c r="Q187" s="7" t="str">
        <f t="shared" si="8"/>
        <v/>
      </c>
    </row>
    <row r="188" ht="14.25" customHeight="1" spans="1:17">
      <c r="A188" s="3" t="s">
        <v>130</v>
      </c>
      <c r="B188" s="4">
        <v>45899</v>
      </c>
      <c r="C188" s="4">
        <v>45988</v>
      </c>
      <c r="D188" s="5">
        <v>0.520833333333333</v>
      </c>
      <c r="E188" s="6">
        <f t="shared" si="6"/>
        <v>2025</v>
      </c>
      <c r="F188" s="6">
        <f ca="1" t="shared" si="7"/>
        <v>-243</v>
      </c>
      <c r="G188" s="3" t="s">
        <v>18</v>
      </c>
      <c r="H188" s="3" t="s">
        <v>94</v>
      </c>
      <c r="I188" s="3" t="s">
        <v>267</v>
      </c>
      <c r="J188" s="3" t="s">
        <v>29</v>
      </c>
      <c r="K188" s="3" t="s">
        <v>62</v>
      </c>
      <c r="L188" s="7">
        <v>80000</v>
      </c>
      <c r="M188" s="3" t="s">
        <v>56</v>
      </c>
      <c r="N188" s="3" t="s">
        <v>32</v>
      </c>
      <c r="O188" s="7">
        <v>79800</v>
      </c>
      <c r="P188" s="8">
        <v>1</v>
      </c>
      <c r="Q188" s="7">
        <f t="shared" si="8"/>
        <v>79800</v>
      </c>
    </row>
    <row r="189" ht="14.25" hidden="1" customHeight="1" spans="1:17">
      <c r="A189" s="3" t="s">
        <v>25</v>
      </c>
      <c r="B189" s="4">
        <v>45807</v>
      </c>
      <c r="C189" s="4">
        <v>45987</v>
      </c>
      <c r="D189" s="5">
        <v>0.5</v>
      </c>
      <c r="E189" s="6">
        <f t="shared" si="6"/>
        <v>2025</v>
      </c>
      <c r="F189" s="6">
        <f ca="1" t="shared" si="7"/>
        <v>-244</v>
      </c>
      <c r="G189" s="3" t="s">
        <v>18</v>
      </c>
      <c r="H189" s="3" t="s">
        <v>146</v>
      </c>
      <c r="I189" s="3" t="s">
        <v>28</v>
      </c>
      <c r="J189" s="3" t="s">
        <v>41</v>
      </c>
      <c r="K189" s="3" t="s">
        <v>67</v>
      </c>
      <c r="L189" s="7">
        <v>1000000</v>
      </c>
      <c r="M189" s="3" t="s">
        <v>31</v>
      </c>
      <c r="N189" s="3" t="s">
        <v>24</v>
      </c>
      <c r="O189" s="7">
        <v>957900</v>
      </c>
      <c r="P189" s="8"/>
      <c r="Q189" s="7" t="str">
        <f t="shared" si="8"/>
        <v/>
      </c>
    </row>
    <row r="190" ht="14.25" customHeight="1" spans="1:17">
      <c r="A190" s="3" t="s">
        <v>73</v>
      </c>
      <c r="B190" s="4">
        <v>45834</v>
      </c>
      <c r="C190" s="4">
        <v>45986</v>
      </c>
      <c r="D190" s="5">
        <v>0.4375</v>
      </c>
      <c r="E190" s="6">
        <f t="shared" si="6"/>
        <v>2025</v>
      </c>
      <c r="F190" s="6">
        <f ca="1" t="shared" si="7"/>
        <v>-245</v>
      </c>
      <c r="G190" s="3" t="s">
        <v>18</v>
      </c>
      <c r="H190" s="3" t="s">
        <v>89</v>
      </c>
      <c r="I190" s="3" t="s">
        <v>248</v>
      </c>
      <c r="J190" s="3" t="s">
        <v>21</v>
      </c>
      <c r="K190" s="3" t="s">
        <v>62</v>
      </c>
      <c r="L190" s="7">
        <v>1000000</v>
      </c>
      <c r="M190" s="3" t="s">
        <v>31</v>
      </c>
      <c r="N190" s="3" t="s">
        <v>47</v>
      </c>
      <c r="O190" s="7">
        <v>980700</v>
      </c>
      <c r="P190" s="8">
        <v>1</v>
      </c>
      <c r="Q190" s="7">
        <f t="shared" si="8"/>
        <v>980700</v>
      </c>
    </row>
    <row r="191" ht="14.25" customHeight="1" spans="1:17">
      <c r="A191" s="3" t="s">
        <v>17</v>
      </c>
      <c r="B191" s="4">
        <v>45838</v>
      </c>
      <c r="C191" s="4">
        <v>45985</v>
      </c>
      <c r="D191" s="5">
        <v>0.5</v>
      </c>
      <c r="E191" s="6">
        <f t="shared" si="6"/>
        <v>2025</v>
      </c>
      <c r="F191" s="6">
        <f ca="1" t="shared" si="7"/>
        <v>-246</v>
      </c>
      <c r="G191" s="3" t="s">
        <v>18</v>
      </c>
      <c r="H191" s="3" t="s">
        <v>268</v>
      </c>
      <c r="I191" s="3" t="s">
        <v>20</v>
      </c>
      <c r="J191" s="3" t="s">
        <v>35</v>
      </c>
      <c r="K191" s="3" t="s">
        <v>52</v>
      </c>
      <c r="L191" s="7">
        <v>1500000</v>
      </c>
      <c r="M191" s="3" t="s">
        <v>104</v>
      </c>
      <c r="N191" s="3" t="s">
        <v>24</v>
      </c>
      <c r="O191" s="7">
        <v>1372400</v>
      </c>
      <c r="P191" s="8">
        <v>1</v>
      </c>
      <c r="Q191" s="7">
        <f t="shared" si="8"/>
        <v>1372400</v>
      </c>
    </row>
    <row r="192" ht="14.25" customHeight="1" spans="1:17">
      <c r="A192" s="3" t="s">
        <v>17</v>
      </c>
      <c r="B192" s="4">
        <v>45822</v>
      </c>
      <c r="C192" s="4">
        <v>45983</v>
      </c>
      <c r="D192" s="5">
        <v>0.614583333333333</v>
      </c>
      <c r="E192" s="6">
        <f t="shared" si="6"/>
        <v>2025</v>
      </c>
      <c r="F192" s="6">
        <f ca="1" t="shared" si="7"/>
        <v>-248</v>
      </c>
      <c r="G192" s="3" t="s">
        <v>26</v>
      </c>
      <c r="H192" s="3" t="s">
        <v>269</v>
      </c>
      <c r="I192" s="3" t="s">
        <v>270</v>
      </c>
      <c r="J192" s="3" t="s">
        <v>29</v>
      </c>
      <c r="K192" s="3" t="s">
        <v>52</v>
      </c>
      <c r="L192" s="7">
        <v>50000</v>
      </c>
      <c r="M192" s="3" t="s">
        <v>104</v>
      </c>
      <c r="N192" s="3" t="s">
        <v>163</v>
      </c>
      <c r="O192" s="7">
        <v>47800</v>
      </c>
      <c r="P192" s="8">
        <v>1</v>
      </c>
      <c r="Q192" s="7">
        <f t="shared" si="8"/>
        <v>47800</v>
      </c>
    </row>
    <row r="193" ht="14.25" customHeight="1" spans="1:17">
      <c r="A193" s="3" t="s">
        <v>17</v>
      </c>
      <c r="B193" s="4">
        <v>45910</v>
      </c>
      <c r="C193" s="4">
        <v>45981</v>
      </c>
      <c r="D193" s="5">
        <v>0.447916666666667</v>
      </c>
      <c r="E193" s="6">
        <f t="shared" si="6"/>
        <v>2025</v>
      </c>
      <c r="F193" s="6">
        <f ca="1" t="shared" si="7"/>
        <v>-250</v>
      </c>
      <c r="G193" s="3" t="s">
        <v>26</v>
      </c>
      <c r="H193" s="3" t="s">
        <v>65</v>
      </c>
      <c r="I193" s="3" t="s">
        <v>66</v>
      </c>
      <c r="J193" s="3" t="s">
        <v>51</v>
      </c>
      <c r="K193" s="3" t="s">
        <v>62</v>
      </c>
      <c r="L193" s="7">
        <v>350000</v>
      </c>
      <c r="M193" s="3" t="s">
        <v>68</v>
      </c>
      <c r="N193" s="3" t="s">
        <v>24</v>
      </c>
      <c r="O193" s="7">
        <v>323800</v>
      </c>
      <c r="P193" s="8">
        <v>1</v>
      </c>
      <c r="Q193" s="7">
        <f t="shared" si="8"/>
        <v>323800</v>
      </c>
    </row>
    <row r="194" ht="14.25" customHeight="1" spans="1:17">
      <c r="A194" s="3" t="s">
        <v>17</v>
      </c>
      <c r="B194" s="4">
        <v>45868</v>
      </c>
      <c r="C194" s="4">
        <v>45981</v>
      </c>
      <c r="D194" s="5">
        <v>0.447916666666667</v>
      </c>
      <c r="E194" s="6">
        <f t="shared" ref="E194:E257" si="9">YEAR(C194)</f>
        <v>2025</v>
      </c>
      <c r="F194" s="6">
        <f ca="1" t="shared" ref="F194:F257" si="10">C194-TODAY()</f>
        <v>-250</v>
      </c>
      <c r="G194" s="3" t="s">
        <v>18</v>
      </c>
      <c r="H194" s="3" t="s">
        <v>271</v>
      </c>
      <c r="I194" s="3" t="s">
        <v>272</v>
      </c>
      <c r="J194" s="3" t="s">
        <v>109</v>
      </c>
      <c r="K194" s="3" t="s">
        <v>62</v>
      </c>
      <c r="L194" s="7">
        <v>250000</v>
      </c>
      <c r="M194" s="3" t="s">
        <v>104</v>
      </c>
      <c r="N194" s="3" t="s">
        <v>179</v>
      </c>
      <c r="O194" s="7">
        <v>223600</v>
      </c>
      <c r="P194" s="8">
        <v>1</v>
      </c>
      <c r="Q194" s="7">
        <f t="shared" ref="Q194:Q257" si="11">IF(P194="","",O194*P194)</f>
        <v>223600</v>
      </c>
    </row>
    <row r="195" ht="14.25" hidden="1" customHeight="1" spans="1:17">
      <c r="A195" s="3" t="s">
        <v>192</v>
      </c>
      <c r="B195" s="4">
        <v>45809</v>
      </c>
      <c r="C195" s="4">
        <v>45978</v>
      </c>
      <c r="D195" s="5">
        <v>0.59375</v>
      </c>
      <c r="E195" s="6">
        <f t="shared" si="9"/>
        <v>2025</v>
      </c>
      <c r="F195" s="6">
        <f ca="1" t="shared" si="10"/>
        <v>-253</v>
      </c>
      <c r="G195" s="3" t="s">
        <v>38</v>
      </c>
      <c r="H195" s="3" t="s">
        <v>223</v>
      </c>
      <c r="I195" s="3" t="s">
        <v>242</v>
      </c>
      <c r="J195" s="3" t="s">
        <v>21</v>
      </c>
      <c r="K195" s="3" t="s">
        <v>140</v>
      </c>
      <c r="L195" s="7">
        <v>1500000</v>
      </c>
      <c r="M195" s="3" t="s">
        <v>53</v>
      </c>
      <c r="N195" s="3" t="s">
        <v>155</v>
      </c>
      <c r="O195" s="7">
        <v>1375700</v>
      </c>
      <c r="P195" s="8"/>
      <c r="Q195" s="7" t="str">
        <f t="shared" si="11"/>
        <v/>
      </c>
    </row>
    <row r="196" ht="14.25" hidden="1" customHeight="1" spans="1:17">
      <c r="A196" s="3" t="s">
        <v>17</v>
      </c>
      <c r="B196" s="4">
        <v>45931</v>
      </c>
      <c r="C196" s="4">
        <v>45978</v>
      </c>
      <c r="D196" s="5">
        <v>0.4375</v>
      </c>
      <c r="E196" s="6">
        <f t="shared" si="9"/>
        <v>2025</v>
      </c>
      <c r="F196" s="6">
        <f ca="1" t="shared" si="10"/>
        <v>-253</v>
      </c>
      <c r="G196" s="3" t="s">
        <v>18</v>
      </c>
      <c r="H196" s="3" t="s">
        <v>175</v>
      </c>
      <c r="I196" s="3" t="s">
        <v>176</v>
      </c>
      <c r="J196" s="3" t="s">
        <v>21</v>
      </c>
      <c r="K196" s="3" t="s">
        <v>215</v>
      </c>
      <c r="L196" s="7">
        <v>80000</v>
      </c>
      <c r="M196" s="3" t="s">
        <v>56</v>
      </c>
      <c r="N196" s="3" t="s">
        <v>57</v>
      </c>
      <c r="O196" s="7">
        <v>70500</v>
      </c>
      <c r="P196" s="8"/>
      <c r="Q196" s="7" t="str">
        <f t="shared" si="11"/>
        <v/>
      </c>
    </row>
    <row r="197" ht="14.25" hidden="1" customHeight="1" spans="1:17">
      <c r="A197" s="3" t="s">
        <v>17</v>
      </c>
      <c r="B197" s="4">
        <v>45801</v>
      </c>
      <c r="C197" s="4">
        <v>45975</v>
      </c>
      <c r="D197" s="5">
        <v>0.604166666666667</v>
      </c>
      <c r="E197" s="6">
        <f t="shared" si="9"/>
        <v>2025</v>
      </c>
      <c r="F197" s="6">
        <f ca="1" t="shared" si="10"/>
        <v>-256</v>
      </c>
      <c r="G197" s="3" t="s">
        <v>18</v>
      </c>
      <c r="H197" s="3" t="s">
        <v>19</v>
      </c>
      <c r="I197" s="3" t="s">
        <v>20</v>
      </c>
      <c r="J197" s="3" t="s">
        <v>51</v>
      </c>
      <c r="K197" s="3" t="s">
        <v>140</v>
      </c>
      <c r="L197" s="7">
        <v>50000</v>
      </c>
      <c r="M197" s="3" t="s">
        <v>23</v>
      </c>
      <c r="N197" s="3" t="s">
        <v>24</v>
      </c>
      <c r="O197" s="7">
        <v>51600</v>
      </c>
      <c r="P197" s="8"/>
      <c r="Q197" s="7" t="str">
        <f t="shared" si="11"/>
        <v/>
      </c>
    </row>
    <row r="198" ht="14.25" customHeight="1" spans="1:17">
      <c r="A198" s="3" t="s">
        <v>48</v>
      </c>
      <c r="B198" s="4">
        <v>45903</v>
      </c>
      <c r="C198" s="4">
        <v>45972</v>
      </c>
      <c r="D198" s="5">
        <v>0.458333333333333</v>
      </c>
      <c r="E198" s="6">
        <f t="shared" si="9"/>
        <v>2025</v>
      </c>
      <c r="F198" s="6">
        <f ca="1" t="shared" si="10"/>
        <v>-259</v>
      </c>
      <c r="G198" s="3" t="s">
        <v>18</v>
      </c>
      <c r="H198" s="3" t="s">
        <v>86</v>
      </c>
      <c r="I198" s="3" t="s">
        <v>189</v>
      </c>
      <c r="J198" s="3" t="s">
        <v>109</v>
      </c>
      <c r="K198" s="3" t="s">
        <v>52</v>
      </c>
      <c r="L198" s="7">
        <v>50000</v>
      </c>
      <c r="M198" s="3" t="s">
        <v>31</v>
      </c>
      <c r="N198" s="3" t="s">
        <v>128</v>
      </c>
      <c r="O198" s="7">
        <v>44000</v>
      </c>
      <c r="P198" s="8">
        <v>1</v>
      </c>
      <c r="Q198" s="7">
        <f t="shared" si="11"/>
        <v>44000</v>
      </c>
    </row>
    <row r="199" ht="14.25" customHeight="1" spans="1:17">
      <c r="A199" s="3" t="s">
        <v>25</v>
      </c>
      <c r="B199" s="4">
        <v>45850</v>
      </c>
      <c r="C199" s="4">
        <v>45971</v>
      </c>
      <c r="D199" s="5">
        <v>0.458333333333333</v>
      </c>
      <c r="E199" s="6">
        <f t="shared" si="9"/>
        <v>2025</v>
      </c>
      <c r="F199" s="6">
        <f ca="1" t="shared" si="10"/>
        <v>-260</v>
      </c>
      <c r="G199" s="3" t="s">
        <v>26</v>
      </c>
      <c r="H199" s="3" t="s">
        <v>119</v>
      </c>
      <c r="I199" s="3" t="s">
        <v>273</v>
      </c>
      <c r="J199" s="3" t="s">
        <v>51</v>
      </c>
      <c r="K199" s="3" t="s">
        <v>52</v>
      </c>
      <c r="L199" s="7">
        <v>80000</v>
      </c>
      <c r="M199" s="3" t="s">
        <v>77</v>
      </c>
      <c r="N199" s="3" t="s">
        <v>105</v>
      </c>
      <c r="O199" s="7">
        <v>74900</v>
      </c>
      <c r="P199" s="8">
        <v>1</v>
      </c>
      <c r="Q199" s="7">
        <f t="shared" si="11"/>
        <v>74900</v>
      </c>
    </row>
    <row r="200" ht="14.25" customHeight="1" spans="1:17">
      <c r="A200" s="3" t="s">
        <v>48</v>
      </c>
      <c r="B200" s="4">
        <v>45872</v>
      </c>
      <c r="C200" s="4">
        <v>45969</v>
      </c>
      <c r="D200" s="5">
        <v>0.645833333333333</v>
      </c>
      <c r="E200" s="6">
        <f t="shared" si="9"/>
        <v>2025</v>
      </c>
      <c r="F200" s="6">
        <f ca="1" t="shared" si="10"/>
        <v>-262</v>
      </c>
      <c r="G200" s="3" t="s">
        <v>18</v>
      </c>
      <c r="H200" s="3" t="s">
        <v>94</v>
      </c>
      <c r="I200" s="3" t="s">
        <v>50</v>
      </c>
      <c r="J200" s="3" t="s">
        <v>21</v>
      </c>
      <c r="K200" s="3" t="s">
        <v>52</v>
      </c>
      <c r="L200" s="7">
        <v>750000</v>
      </c>
      <c r="M200" s="3" t="s">
        <v>68</v>
      </c>
      <c r="N200" s="3" t="s">
        <v>24</v>
      </c>
      <c r="O200" s="7">
        <v>758200</v>
      </c>
      <c r="P200" s="8">
        <v>1</v>
      </c>
      <c r="Q200" s="7">
        <f t="shared" si="11"/>
        <v>758200</v>
      </c>
    </row>
    <row r="201" ht="14.25" customHeight="1" spans="1:17">
      <c r="A201" s="3" t="s">
        <v>25</v>
      </c>
      <c r="B201" s="4">
        <v>45822</v>
      </c>
      <c r="C201" s="4">
        <v>45969</v>
      </c>
      <c r="D201" s="5">
        <v>0.583333333333333</v>
      </c>
      <c r="E201" s="6">
        <f t="shared" si="9"/>
        <v>2025</v>
      </c>
      <c r="F201" s="6">
        <f ca="1" t="shared" si="10"/>
        <v>-262</v>
      </c>
      <c r="G201" s="3" t="s">
        <v>18</v>
      </c>
      <c r="H201" s="3" t="s">
        <v>146</v>
      </c>
      <c r="I201" s="3" t="s">
        <v>120</v>
      </c>
      <c r="J201" s="3" t="s">
        <v>41</v>
      </c>
      <c r="K201" s="3" t="s">
        <v>62</v>
      </c>
      <c r="L201" s="7">
        <v>750000</v>
      </c>
      <c r="M201" s="3" t="s">
        <v>31</v>
      </c>
      <c r="N201" s="3" t="s">
        <v>78</v>
      </c>
      <c r="O201" s="7">
        <v>697700</v>
      </c>
      <c r="P201" s="8">
        <v>1</v>
      </c>
      <c r="Q201" s="7">
        <f t="shared" si="11"/>
        <v>697700</v>
      </c>
    </row>
    <row r="202" ht="14.25" customHeight="1" spans="1:17">
      <c r="A202" s="3" t="s">
        <v>25</v>
      </c>
      <c r="B202" s="4">
        <v>45937</v>
      </c>
      <c r="C202" s="4">
        <v>45967</v>
      </c>
      <c r="D202" s="5">
        <v>0.614583333333333</v>
      </c>
      <c r="E202" s="6">
        <f t="shared" si="9"/>
        <v>2025</v>
      </c>
      <c r="F202" s="6">
        <f ca="1" t="shared" si="10"/>
        <v>-264</v>
      </c>
      <c r="G202" s="3" t="s">
        <v>18</v>
      </c>
      <c r="H202" s="3" t="s">
        <v>131</v>
      </c>
      <c r="I202" s="3" t="s">
        <v>92</v>
      </c>
      <c r="J202" s="3" t="s">
        <v>35</v>
      </c>
      <c r="K202" s="3" t="s">
        <v>52</v>
      </c>
      <c r="L202" s="7">
        <v>750000</v>
      </c>
      <c r="M202" s="3" t="s">
        <v>31</v>
      </c>
      <c r="N202" s="3" t="s">
        <v>72</v>
      </c>
      <c r="O202" s="7">
        <v>659300</v>
      </c>
      <c r="P202" s="8">
        <v>1</v>
      </c>
      <c r="Q202" s="7">
        <f t="shared" si="11"/>
        <v>659300</v>
      </c>
    </row>
    <row r="203" ht="14.25" hidden="1" customHeight="1" spans="1:17">
      <c r="A203" s="3" t="s">
        <v>48</v>
      </c>
      <c r="B203" s="4">
        <v>45839</v>
      </c>
      <c r="C203" s="4">
        <v>45959</v>
      </c>
      <c r="D203" s="5">
        <v>0.479166666666667</v>
      </c>
      <c r="E203" s="6">
        <f t="shared" si="9"/>
        <v>2025</v>
      </c>
      <c r="F203" s="6">
        <f ca="1" t="shared" si="10"/>
        <v>-272</v>
      </c>
      <c r="G203" s="3" t="s">
        <v>18</v>
      </c>
      <c r="H203" s="3" t="s">
        <v>178</v>
      </c>
      <c r="I203" s="3" t="s">
        <v>50</v>
      </c>
      <c r="J203" s="3" t="s">
        <v>21</v>
      </c>
      <c r="K203" s="3" t="s">
        <v>140</v>
      </c>
      <c r="L203" s="7">
        <v>750000</v>
      </c>
      <c r="M203" s="3" t="s">
        <v>23</v>
      </c>
      <c r="N203" s="3" t="s">
        <v>179</v>
      </c>
      <c r="O203" s="7">
        <v>780300</v>
      </c>
      <c r="P203" s="8"/>
      <c r="Q203" s="7" t="str">
        <f t="shared" si="11"/>
        <v/>
      </c>
    </row>
    <row r="204" ht="14.25" hidden="1" customHeight="1" spans="1:17">
      <c r="A204" s="3" t="s">
        <v>25</v>
      </c>
      <c r="B204" s="4">
        <v>45835</v>
      </c>
      <c r="C204" s="4">
        <v>45957</v>
      </c>
      <c r="D204" s="5">
        <v>0.510416666666667</v>
      </c>
      <c r="E204" s="6">
        <f t="shared" si="9"/>
        <v>2025</v>
      </c>
      <c r="F204" s="6">
        <f ca="1" t="shared" si="10"/>
        <v>-274</v>
      </c>
      <c r="G204" s="3" t="s">
        <v>18</v>
      </c>
      <c r="H204" s="3" t="s">
        <v>86</v>
      </c>
      <c r="I204" s="3" t="s">
        <v>170</v>
      </c>
      <c r="J204" s="3" t="s">
        <v>51</v>
      </c>
      <c r="K204" s="3" t="s">
        <v>140</v>
      </c>
      <c r="L204" s="7">
        <v>250000</v>
      </c>
      <c r="M204" s="3" t="s">
        <v>31</v>
      </c>
      <c r="N204" s="3" t="s">
        <v>24</v>
      </c>
      <c r="O204" s="7">
        <v>219900</v>
      </c>
      <c r="P204" s="8"/>
      <c r="Q204" s="7" t="str">
        <f t="shared" si="11"/>
        <v/>
      </c>
    </row>
    <row r="205" ht="14.25" customHeight="1" spans="1:17">
      <c r="A205" s="3" t="s">
        <v>48</v>
      </c>
      <c r="B205" s="4">
        <v>45923</v>
      </c>
      <c r="C205" s="4">
        <v>45956</v>
      </c>
      <c r="D205" s="5">
        <v>0.604166666666667</v>
      </c>
      <c r="E205" s="6">
        <f t="shared" si="9"/>
        <v>2025</v>
      </c>
      <c r="F205" s="6">
        <f ca="1" t="shared" si="10"/>
        <v>-275</v>
      </c>
      <c r="G205" s="3" t="s">
        <v>18</v>
      </c>
      <c r="H205" s="3" t="s">
        <v>94</v>
      </c>
      <c r="I205" s="3" t="s">
        <v>231</v>
      </c>
      <c r="J205" s="3" t="s">
        <v>51</v>
      </c>
      <c r="K205" s="3" t="s">
        <v>52</v>
      </c>
      <c r="L205" s="7">
        <v>350000</v>
      </c>
      <c r="M205" s="3" t="s">
        <v>31</v>
      </c>
      <c r="N205" s="3" t="s">
        <v>163</v>
      </c>
      <c r="O205" s="7">
        <v>330500</v>
      </c>
      <c r="P205" s="8">
        <v>1</v>
      </c>
      <c r="Q205" s="7">
        <f t="shared" si="11"/>
        <v>330500</v>
      </c>
    </row>
    <row r="206" ht="14.25" hidden="1" customHeight="1" spans="1:17">
      <c r="A206" s="3" t="s">
        <v>85</v>
      </c>
      <c r="B206" s="4">
        <v>45855</v>
      </c>
      <c r="C206" s="4">
        <v>45952</v>
      </c>
      <c r="D206" s="5">
        <v>0.635416666666667</v>
      </c>
      <c r="E206" s="6">
        <f t="shared" si="9"/>
        <v>2025</v>
      </c>
      <c r="F206" s="6">
        <f ca="1" t="shared" si="10"/>
        <v>-279</v>
      </c>
      <c r="G206" s="3" t="s">
        <v>38</v>
      </c>
      <c r="H206" s="3" t="s">
        <v>49</v>
      </c>
      <c r="I206" s="3" t="s">
        <v>87</v>
      </c>
      <c r="J206" s="3" t="s">
        <v>41</v>
      </c>
      <c r="K206" s="3" t="s">
        <v>97</v>
      </c>
      <c r="L206" s="7">
        <v>500000</v>
      </c>
      <c r="M206" s="3" t="s">
        <v>31</v>
      </c>
      <c r="N206" s="3" t="s">
        <v>24</v>
      </c>
      <c r="O206" s="7">
        <v>465800</v>
      </c>
      <c r="P206" s="8"/>
      <c r="Q206" s="7" t="str">
        <f t="shared" si="11"/>
        <v/>
      </c>
    </row>
    <row r="207" ht="14.25" hidden="1" customHeight="1" spans="1:17">
      <c r="A207" s="3" t="s">
        <v>17</v>
      </c>
      <c r="B207" s="4">
        <v>45813</v>
      </c>
      <c r="C207" s="4">
        <v>45951</v>
      </c>
      <c r="D207" s="5">
        <v>0.5625</v>
      </c>
      <c r="E207" s="6">
        <f t="shared" si="9"/>
        <v>2025</v>
      </c>
      <c r="F207" s="6">
        <f ca="1" t="shared" si="10"/>
        <v>-280</v>
      </c>
      <c r="G207" s="3" t="s">
        <v>18</v>
      </c>
      <c r="H207" s="3" t="s">
        <v>86</v>
      </c>
      <c r="I207" s="3" t="s">
        <v>154</v>
      </c>
      <c r="J207" s="3" t="s">
        <v>51</v>
      </c>
      <c r="K207" s="3" t="s">
        <v>67</v>
      </c>
      <c r="L207" s="7">
        <v>180000</v>
      </c>
      <c r="M207" s="3" t="s">
        <v>101</v>
      </c>
      <c r="N207" s="3" t="s">
        <v>47</v>
      </c>
      <c r="O207" s="7">
        <v>177300</v>
      </c>
      <c r="P207" s="8"/>
      <c r="Q207" s="7" t="str">
        <f t="shared" si="11"/>
        <v/>
      </c>
    </row>
    <row r="208" ht="14.25" hidden="1" customHeight="1" spans="1:17">
      <c r="A208" s="3" t="s">
        <v>25</v>
      </c>
      <c r="B208" s="4">
        <v>45913</v>
      </c>
      <c r="C208" s="4">
        <v>45950</v>
      </c>
      <c r="D208" s="5">
        <v>0.489583333333333</v>
      </c>
      <c r="E208" s="6">
        <f t="shared" si="9"/>
        <v>2025</v>
      </c>
      <c r="F208" s="6">
        <f ca="1" t="shared" si="10"/>
        <v>-281</v>
      </c>
      <c r="G208" s="3" t="s">
        <v>18</v>
      </c>
      <c r="H208" s="3" t="s">
        <v>274</v>
      </c>
      <c r="I208" s="3" t="s">
        <v>68</v>
      </c>
      <c r="J208" s="3" t="s">
        <v>41</v>
      </c>
      <c r="K208" s="3" t="s">
        <v>93</v>
      </c>
      <c r="L208" s="7">
        <v>180000</v>
      </c>
      <c r="M208" s="3" t="s">
        <v>68</v>
      </c>
      <c r="N208" s="3" t="s">
        <v>24</v>
      </c>
      <c r="O208" s="7">
        <v>171000</v>
      </c>
      <c r="P208" s="8"/>
      <c r="Q208" s="7" t="str">
        <f t="shared" si="11"/>
        <v/>
      </c>
    </row>
    <row r="209" ht="14.25" hidden="1" customHeight="1" spans="1:17">
      <c r="A209" s="3" t="s">
        <v>125</v>
      </c>
      <c r="B209" s="4">
        <v>45878</v>
      </c>
      <c r="C209" s="4">
        <v>45949</v>
      </c>
      <c r="D209" s="5">
        <v>0.604166666666667</v>
      </c>
      <c r="E209" s="6">
        <f t="shared" si="9"/>
        <v>2025</v>
      </c>
      <c r="F209" s="6">
        <f ca="1" t="shared" si="10"/>
        <v>-282</v>
      </c>
      <c r="G209" s="3" t="s">
        <v>26</v>
      </c>
      <c r="H209" s="3" t="s">
        <v>275</v>
      </c>
      <c r="I209" s="3" t="s">
        <v>127</v>
      </c>
      <c r="J209" s="3" t="s">
        <v>35</v>
      </c>
      <c r="K209" s="3" t="s">
        <v>93</v>
      </c>
      <c r="L209" s="7">
        <v>1500000</v>
      </c>
      <c r="M209" s="3" t="s">
        <v>31</v>
      </c>
      <c r="N209" s="3" t="s">
        <v>179</v>
      </c>
      <c r="O209" s="7">
        <v>1302800</v>
      </c>
      <c r="P209" s="8"/>
      <c r="Q209" s="7" t="str">
        <f t="shared" si="11"/>
        <v/>
      </c>
    </row>
    <row r="210" ht="14.25" hidden="1" customHeight="1" spans="1:17">
      <c r="A210" s="3" t="s">
        <v>48</v>
      </c>
      <c r="B210" s="4">
        <v>45820</v>
      </c>
      <c r="C210" s="4">
        <v>45948</v>
      </c>
      <c r="D210" s="5">
        <v>0.666666666666667</v>
      </c>
      <c r="E210" s="6">
        <f t="shared" si="9"/>
        <v>2025</v>
      </c>
      <c r="F210" s="6">
        <f ca="1" t="shared" si="10"/>
        <v>-283</v>
      </c>
      <c r="G210" s="3" t="s">
        <v>26</v>
      </c>
      <c r="H210" s="3" t="s">
        <v>80</v>
      </c>
      <c r="I210" s="3" t="s">
        <v>150</v>
      </c>
      <c r="J210" s="3" t="s">
        <v>29</v>
      </c>
      <c r="K210" s="3" t="s">
        <v>97</v>
      </c>
      <c r="L210" s="7">
        <v>180000</v>
      </c>
      <c r="M210" s="3" t="s">
        <v>31</v>
      </c>
      <c r="N210" s="3" t="s">
        <v>32</v>
      </c>
      <c r="O210" s="7">
        <v>156300</v>
      </c>
      <c r="P210" s="8"/>
      <c r="Q210" s="7" t="str">
        <f t="shared" si="11"/>
        <v/>
      </c>
    </row>
    <row r="211" ht="14.25" hidden="1" customHeight="1" spans="1:17">
      <c r="A211" s="3" t="s">
        <v>125</v>
      </c>
      <c r="B211" s="4">
        <v>45906</v>
      </c>
      <c r="C211" s="4">
        <v>45944</v>
      </c>
      <c r="D211" s="5">
        <v>0.489583333333333</v>
      </c>
      <c r="E211" s="6">
        <f t="shared" si="9"/>
        <v>2025</v>
      </c>
      <c r="F211" s="6">
        <f ca="1" t="shared" si="10"/>
        <v>-287</v>
      </c>
      <c r="G211" s="3" t="s">
        <v>26</v>
      </c>
      <c r="H211" s="3" t="s">
        <v>180</v>
      </c>
      <c r="I211" s="3" t="s">
        <v>127</v>
      </c>
      <c r="J211" s="3" t="s">
        <v>21</v>
      </c>
      <c r="K211" s="3" t="s">
        <v>67</v>
      </c>
      <c r="L211" s="7">
        <v>250000</v>
      </c>
      <c r="M211" s="3" t="s">
        <v>31</v>
      </c>
      <c r="N211" s="3" t="s">
        <v>148</v>
      </c>
      <c r="O211" s="7">
        <v>245900</v>
      </c>
      <c r="P211" s="8"/>
      <c r="Q211" s="7" t="str">
        <f t="shared" si="11"/>
        <v/>
      </c>
    </row>
    <row r="212" ht="14.25" customHeight="1" spans="1:17">
      <c r="A212" s="3" t="s">
        <v>25</v>
      </c>
      <c r="B212" s="4">
        <v>45891</v>
      </c>
      <c r="C212" s="4">
        <v>45941</v>
      </c>
      <c r="D212" s="5">
        <v>0.53125</v>
      </c>
      <c r="E212" s="6">
        <f t="shared" si="9"/>
        <v>2025</v>
      </c>
      <c r="F212" s="6">
        <f ca="1" t="shared" si="10"/>
        <v>-290</v>
      </c>
      <c r="G212" s="3" t="s">
        <v>18</v>
      </c>
      <c r="H212" s="3" t="s">
        <v>178</v>
      </c>
      <c r="I212" s="3" t="s">
        <v>70</v>
      </c>
      <c r="J212" s="3" t="s">
        <v>109</v>
      </c>
      <c r="K212" s="3" t="s">
        <v>62</v>
      </c>
      <c r="L212" s="7">
        <v>50000</v>
      </c>
      <c r="M212" s="3" t="s">
        <v>31</v>
      </c>
      <c r="N212" s="3" t="s">
        <v>163</v>
      </c>
      <c r="O212" s="7">
        <v>49100</v>
      </c>
      <c r="P212" s="8">
        <v>1</v>
      </c>
      <c r="Q212" s="7">
        <f t="shared" si="11"/>
        <v>49100</v>
      </c>
    </row>
    <row r="213" ht="14.25" hidden="1" customHeight="1" spans="1:17">
      <c r="A213" s="3" t="s">
        <v>43</v>
      </c>
      <c r="B213" s="4">
        <v>45824</v>
      </c>
      <c r="C213" s="4">
        <v>45940</v>
      </c>
      <c r="D213" s="5">
        <v>0.5625</v>
      </c>
      <c r="E213" s="6">
        <f t="shared" si="9"/>
        <v>2025</v>
      </c>
      <c r="F213" s="6">
        <f ca="1" t="shared" si="10"/>
        <v>-291</v>
      </c>
      <c r="G213" s="3" t="s">
        <v>26</v>
      </c>
      <c r="H213" s="3" t="s">
        <v>119</v>
      </c>
      <c r="I213" s="3" t="s">
        <v>276</v>
      </c>
      <c r="J213" s="3" t="s">
        <v>41</v>
      </c>
      <c r="K213" s="3" t="s">
        <v>140</v>
      </c>
      <c r="L213" s="7">
        <v>80000</v>
      </c>
      <c r="M213" s="3" t="s">
        <v>101</v>
      </c>
      <c r="N213" s="3" t="s">
        <v>24</v>
      </c>
      <c r="O213" s="7">
        <v>83600</v>
      </c>
      <c r="P213" s="8"/>
      <c r="Q213" s="7" t="str">
        <f t="shared" si="11"/>
        <v/>
      </c>
    </row>
    <row r="214" ht="14.25" customHeight="1" spans="1:17">
      <c r="A214" s="3" t="s">
        <v>25</v>
      </c>
      <c r="B214" s="4">
        <v>45909</v>
      </c>
      <c r="C214" s="4">
        <v>45938</v>
      </c>
      <c r="D214" s="5">
        <v>0.65625</v>
      </c>
      <c r="E214" s="6">
        <f t="shared" si="9"/>
        <v>2025</v>
      </c>
      <c r="F214" s="6">
        <f ca="1" t="shared" si="10"/>
        <v>-293</v>
      </c>
      <c r="G214" s="3" t="s">
        <v>26</v>
      </c>
      <c r="H214" s="3" t="s">
        <v>211</v>
      </c>
      <c r="I214" s="3" t="s">
        <v>59</v>
      </c>
      <c r="J214" s="3" t="s">
        <v>109</v>
      </c>
      <c r="K214" s="3" t="s">
        <v>52</v>
      </c>
      <c r="L214" s="7">
        <v>250000</v>
      </c>
      <c r="M214" s="3" t="s">
        <v>31</v>
      </c>
      <c r="N214" s="3" t="s">
        <v>24</v>
      </c>
      <c r="O214" s="7">
        <v>232700</v>
      </c>
      <c r="P214" s="8">
        <v>1</v>
      </c>
      <c r="Q214" s="7">
        <f t="shared" si="11"/>
        <v>232700</v>
      </c>
    </row>
    <row r="215" ht="14.25" customHeight="1" spans="1:17">
      <c r="A215" s="3" t="s">
        <v>17</v>
      </c>
      <c r="B215" s="4">
        <v>45826</v>
      </c>
      <c r="C215" s="4">
        <v>45937</v>
      </c>
      <c r="D215" s="5">
        <v>0.645833333333333</v>
      </c>
      <c r="E215" s="6">
        <f t="shared" si="9"/>
        <v>2025</v>
      </c>
      <c r="F215" s="6">
        <f ca="1" t="shared" si="10"/>
        <v>-294</v>
      </c>
      <c r="G215" s="3" t="s">
        <v>26</v>
      </c>
      <c r="H215" s="3" t="s">
        <v>80</v>
      </c>
      <c r="I215" s="3" t="s">
        <v>122</v>
      </c>
      <c r="J215" s="3" t="s">
        <v>29</v>
      </c>
      <c r="K215" s="3" t="s">
        <v>52</v>
      </c>
      <c r="L215" s="7">
        <v>1500000</v>
      </c>
      <c r="M215" s="3" t="s">
        <v>53</v>
      </c>
      <c r="N215" s="3" t="s">
        <v>105</v>
      </c>
      <c r="O215" s="7">
        <v>1432900</v>
      </c>
      <c r="P215" s="8">
        <v>1</v>
      </c>
      <c r="Q215" s="7">
        <f t="shared" si="11"/>
        <v>1432900</v>
      </c>
    </row>
    <row r="216" ht="14.25" customHeight="1" spans="1:17">
      <c r="A216" s="3" t="s">
        <v>130</v>
      </c>
      <c r="B216" s="4">
        <v>45853</v>
      </c>
      <c r="C216" s="4">
        <v>45935</v>
      </c>
      <c r="D216" s="5">
        <v>0.552083333333333</v>
      </c>
      <c r="E216" s="6">
        <f t="shared" si="9"/>
        <v>2025</v>
      </c>
      <c r="F216" s="6">
        <f ca="1" t="shared" si="10"/>
        <v>-296</v>
      </c>
      <c r="G216" s="3" t="s">
        <v>18</v>
      </c>
      <c r="H216" s="3" t="s">
        <v>277</v>
      </c>
      <c r="I216" s="3" t="s">
        <v>196</v>
      </c>
      <c r="J216" s="3" t="s">
        <v>41</v>
      </c>
      <c r="K216" s="3" t="s">
        <v>62</v>
      </c>
      <c r="L216" s="7">
        <v>50000</v>
      </c>
      <c r="M216" s="3" t="s">
        <v>101</v>
      </c>
      <c r="N216" s="3" t="s">
        <v>24</v>
      </c>
      <c r="O216" s="7">
        <v>52400</v>
      </c>
      <c r="P216" s="8">
        <v>1</v>
      </c>
      <c r="Q216" s="7">
        <f t="shared" si="11"/>
        <v>52400</v>
      </c>
    </row>
    <row r="217" ht="14.25" hidden="1" customHeight="1" spans="1:17">
      <c r="A217" s="3" t="s">
        <v>278</v>
      </c>
      <c r="B217" s="4">
        <v>45861</v>
      </c>
      <c r="C217" s="4">
        <v>45934</v>
      </c>
      <c r="D217" s="5">
        <v>0.572916666666667</v>
      </c>
      <c r="E217" s="6">
        <f t="shared" si="9"/>
        <v>2025</v>
      </c>
      <c r="F217" s="6">
        <f ca="1" t="shared" si="10"/>
        <v>-297</v>
      </c>
      <c r="G217" s="3" t="s">
        <v>18</v>
      </c>
      <c r="H217" s="3" t="s">
        <v>146</v>
      </c>
      <c r="I217" s="3" t="s">
        <v>279</v>
      </c>
      <c r="J217" s="3" t="s">
        <v>41</v>
      </c>
      <c r="K217" s="3" t="s">
        <v>67</v>
      </c>
      <c r="L217" s="7">
        <v>500000</v>
      </c>
      <c r="M217" s="3" t="s">
        <v>31</v>
      </c>
      <c r="N217" s="3" t="s">
        <v>47</v>
      </c>
      <c r="O217" s="7">
        <v>500400</v>
      </c>
      <c r="P217" s="8"/>
      <c r="Q217" s="7" t="str">
        <f t="shared" si="11"/>
        <v/>
      </c>
    </row>
    <row r="218" ht="14.25" hidden="1" customHeight="1" spans="1:17">
      <c r="A218" s="3" t="s">
        <v>79</v>
      </c>
      <c r="B218" s="4">
        <v>45771</v>
      </c>
      <c r="C218" s="4">
        <v>45934</v>
      </c>
      <c r="D218" s="5">
        <v>0.604166666666667</v>
      </c>
      <c r="E218" s="6">
        <f t="shared" si="9"/>
        <v>2025</v>
      </c>
      <c r="F218" s="6">
        <f ca="1" t="shared" si="10"/>
        <v>-297</v>
      </c>
      <c r="G218" s="3" t="s">
        <v>18</v>
      </c>
      <c r="H218" s="3" t="s">
        <v>280</v>
      </c>
      <c r="I218" s="3" t="s">
        <v>47</v>
      </c>
      <c r="J218" s="3" t="s">
        <v>51</v>
      </c>
      <c r="K218" s="3" t="s">
        <v>67</v>
      </c>
      <c r="L218" s="7">
        <v>350000</v>
      </c>
      <c r="M218" s="3" t="s">
        <v>31</v>
      </c>
      <c r="N218" s="3" t="s">
        <v>24</v>
      </c>
      <c r="O218" s="7">
        <v>308800</v>
      </c>
      <c r="P218" s="8"/>
      <c r="Q218" s="7" t="str">
        <f t="shared" si="11"/>
        <v/>
      </c>
    </row>
    <row r="219" ht="14.25" hidden="1" customHeight="1" spans="1:17">
      <c r="A219" s="3" t="s">
        <v>73</v>
      </c>
      <c r="B219" s="4">
        <v>45834</v>
      </c>
      <c r="C219" s="4">
        <v>45934</v>
      </c>
      <c r="D219" s="5">
        <v>0.572916666666667</v>
      </c>
      <c r="E219" s="6">
        <f t="shared" si="9"/>
        <v>2025</v>
      </c>
      <c r="F219" s="6">
        <f ca="1" t="shared" si="10"/>
        <v>-297</v>
      </c>
      <c r="G219" s="3" t="s">
        <v>38</v>
      </c>
      <c r="H219" s="3" t="s">
        <v>281</v>
      </c>
      <c r="I219" s="3" t="s">
        <v>77</v>
      </c>
      <c r="J219" s="3" t="s">
        <v>51</v>
      </c>
      <c r="K219" s="3" t="s">
        <v>67</v>
      </c>
      <c r="L219" s="7">
        <v>1500000</v>
      </c>
      <c r="M219" s="3" t="s">
        <v>77</v>
      </c>
      <c r="N219" s="3" t="s">
        <v>24</v>
      </c>
      <c r="O219" s="7">
        <v>1533900</v>
      </c>
      <c r="P219" s="8"/>
      <c r="Q219" s="7" t="str">
        <f t="shared" si="11"/>
        <v/>
      </c>
    </row>
    <row r="220" ht="14.25" hidden="1" customHeight="1" spans="1:17">
      <c r="A220" s="3" t="s">
        <v>130</v>
      </c>
      <c r="B220" s="4">
        <v>45782</v>
      </c>
      <c r="C220" s="4">
        <v>45932</v>
      </c>
      <c r="D220" s="5">
        <v>0.458333333333333</v>
      </c>
      <c r="E220" s="6">
        <f t="shared" si="9"/>
        <v>2025</v>
      </c>
      <c r="F220" s="6">
        <f ca="1" t="shared" si="10"/>
        <v>-299</v>
      </c>
      <c r="G220" s="3" t="s">
        <v>18</v>
      </c>
      <c r="H220" s="3" t="s">
        <v>282</v>
      </c>
      <c r="I220" s="3" t="s">
        <v>196</v>
      </c>
      <c r="J220" s="3" t="s">
        <v>41</v>
      </c>
      <c r="K220" s="3" t="s">
        <v>93</v>
      </c>
      <c r="L220" s="7">
        <v>750000</v>
      </c>
      <c r="M220" s="3" t="s">
        <v>101</v>
      </c>
      <c r="N220" s="3" t="s">
        <v>24</v>
      </c>
      <c r="O220" s="7">
        <v>662000</v>
      </c>
      <c r="P220" s="8"/>
      <c r="Q220" s="7" t="str">
        <f t="shared" si="11"/>
        <v/>
      </c>
    </row>
    <row r="221" ht="14.25" customHeight="1" spans="1:17">
      <c r="A221" s="3" t="s">
        <v>239</v>
      </c>
      <c r="B221" s="4">
        <v>45770</v>
      </c>
      <c r="C221" s="4">
        <v>45931</v>
      </c>
      <c r="D221" s="5">
        <v>0.5</v>
      </c>
      <c r="E221" s="6">
        <f t="shared" si="9"/>
        <v>2025</v>
      </c>
      <c r="F221" s="6">
        <f ca="1" t="shared" si="10"/>
        <v>-300</v>
      </c>
      <c r="G221" s="3" t="s">
        <v>26</v>
      </c>
      <c r="H221" s="3" t="s">
        <v>240</v>
      </c>
      <c r="I221" s="3" t="s">
        <v>241</v>
      </c>
      <c r="J221" s="3" t="s">
        <v>51</v>
      </c>
      <c r="K221" s="3" t="s">
        <v>52</v>
      </c>
      <c r="L221" s="7">
        <v>120000</v>
      </c>
      <c r="M221" s="3" t="s">
        <v>42</v>
      </c>
      <c r="N221" s="3" t="s">
        <v>163</v>
      </c>
      <c r="O221" s="7">
        <v>104100</v>
      </c>
      <c r="P221" s="8">
        <v>1</v>
      </c>
      <c r="Q221" s="7">
        <f t="shared" si="11"/>
        <v>104100</v>
      </c>
    </row>
    <row r="222" ht="14.25" customHeight="1" spans="1:17">
      <c r="A222" s="3" t="s">
        <v>73</v>
      </c>
      <c r="B222" s="4">
        <v>45799</v>
      </c>
      <c r="C222" s="4">
        <v>45930</v>
      </c>
      <c r="D222" s="5">
        <v>0.5</v>
      </c>
      <c r="E222" s="6">
        <f t="shared" si="9"/>
        <v>2025</v>
      </c>
      <c r="F222" s="6">
        <f ca="1" t="shared" si="10"/>
        <v>-301</v>
      </c>
      <c r="G222" s="3" t="s">
        <v>26</v>
      </c>
      <c r="H222" s="3" t="s">
        <v>283</v>
      </c>
      <c r="I222" s="3" t="s">
        <v>75</v>
      </c>
      <c r="J222" s="3" t="s">
        <v>51</v>
      </c>
      <c r="K222" s="3" t="s">
        <v>62</v>
      </c>
      <c r="L222" s="7">
        <v>500000</v>
      </c>
      <c r="M222" s="3" t="s">
        <v>68</v>
      </c>
      <c r="N222" s="3" t="s">
        <v>24</v>
      </c>
      <c r="O222" s="7">
        <v>429600</v>
      </c>
      <c r="P222" s="8">
        <v>1</v>
      </c>
      <c r="Q222" s="7">
        <f t="shared" si="11"/>
        <v>429600</v>
      </c>
    </row>
    <row r="223" ht="14.25" hidden="1" customHeight="1" spans="1:17">
      <c r="A223" s="3" t="s">
        <v>25</v>
      </c>
      <c r="B223" s="4">
        <v>45884</v>
      </c>
      <c r="C223" s="4">
        <v>45930</v>
      </c>
      <c r="D223" s="5">
        <v>0.4375</v>
      </c>
      <c r="E223" s="6">
        <f t="shared" si="9"/>
        <v>2025</v>
      </c>
      <c r="F223" s="6">
        <f ca="1" t="shared" si="10"/>
        <v>-301</v>
      </c>
      <c r="G223" s="3" t="s">
        <v>18</v>
      </c>
      <c r="H223" s="3" t="s">
        <v>89</v>
      </c>
      <c r="I223" s="3" t="s">
        <v>262</v>
      </c>
      <c r="J223" s="3" t="s">
        <v>51</v>
      </c>
      <c r="K223" s="3" t="s">
        <v>215</v>
      </c>
      <c r="L223" s="7">
        <v>50000</v>
      </c>
      <c r="M223" s="3" t="s">
        <v>31</v>
      </c>
      <c r="N223" s="3" t="s">
        <v>32</v>
      </c>
      <c r="O223" s="7">
        <v>47900</v>
      </c>
      <c r="P223" s="8"/>
      <c r="Q223" s="7" t="str">
        <f t="shared" si="11"/>
        <v/>
      </c>
    </row>
    <row r="224" ht="14.25" customHeight="1" spans="1:17">
      <c r="A224" s="3" t="s">
        <v>25</v>
      </c>
      <c r="B224" s="4">
        <v>45776</v>
      </c>
      <c r="C224" s="4">
        <v>45919</v>
      </c>
      <c r="D224" s="5">
        <v>0.541666666666667</v>
      </c>
      <c r="E224" s="6">
        <f t="shared" si="9"/>
        <v>2025</v>
      </c>
      <c r="F224" s="6">
        <f ca="1" t="shared" si="10"/>
        <v>-312</v>
      </c>
      <c r="G224" s="3" t="s">
        <v>26</v>
      </c>
      <c r="H224" s="3" t="s">
        <v>119</v>
      </c>
      <c r="I224" s="3" t="s">
        <v>186</v>
      </c>
      <c r="J224" s="3" t="s">
        <v>51</v>
      </c>
      <c r="K224" s="3" t="s">
        <v>52</v>
      </c>
      <c r="L224" s="7">
        <v>120000</v>
      </c>
      <c r="M224" s="3" t="s">
        <v>31</v>
      </c>
      <c r="N224" s="3" t="s">
        <v>57</v>
      </c>
      <c r="O224" s="7">
        <v>120300</v>
      </c>
      <c r="P224" s="8">
        <v>1</v>
      </c>
      <c r="Q224" s="7">
        <f t="shared" si="11"/>
        <v>120300</v>
      </c>
    </row>
    <row r="225" ht="14.25" hidden="1" customHeight="1" spans="1:17">
      <c r="A225" s="3" t="s">
        <v>25</v>
      </c>
      <c r="B225" s="4">
        <v>45862</v>
      </c>
      <c r="C225" s="4">
        <v>45903</v>
      </c>
      <c r="D225" s="5">
        <v>0.427083333333333</v>
      </c>
      <c r="E225" s="6">
        <f t="shared" si="9"/>
        <v>2025</v>
      </c>
      <c r="F225" s="6">
        <f ca="1" t="shared" si="10"/>
        <v>-328</v>
      </c>
      <c r="G225" s="3" t="s">
        <v>26</v>
      </c>
      <c r="H225" s="3" t="s">
        <v>211</v>
      </c>
      <c r="I225" s="3" t="s">
        <v>212</v>
      </c>
      <c r="J225" s="3" t="s">
        <v>51</v>
      </c>
      <c r="K225" s="3" t="s">
        <v>67</v>
      </c>
      <c r="L225" s="7">
        <v>250000</v>
      </c>
      <c r="M225" s="3" t="s">
        <v>104</v>
      </c>
      <c r="N225" s="3" t="s">
        <v>78</v>
      </c>
      <c r="O225" s="7">
        <v>256800</v>
      </c>
      <c r="P225" s="8"/>
      <c r="Q225" s="7" t="str">
        <f t="shared" si="11"/>
        <v/>
      </c>
    </row>
    <row r="226" ht="14.25" hidden="1" customHeight="1" spans="1:17">
      <c r="A226" s="3" t="s">
        <v>25</v>
      </c>
      <c r="B226" s="4">
        <v>45808</v>
      </c>
      <c r="C226" s="4">
        <v>45901</v>
      </c>
      <c r="D226" s="5">
        <v>0.625</v>
      </c>
      <c r="E226" s="6">
        <f t="shared" si="9"/>
        <v>2025</v>
      </c>
      <c r="F226" s="6">
        <f ca="1" t="shared" si="10"/>
        <v>-330</v>
      </c>
      <c r="G226" s="3" t="s">
        <v>18</v>
      </c>
      <c r="H226" s="3" t="s">
        <v>284</v>
      </c>
      <c r="I226" s="3" t="s">
        <v>108</v>
      </c>
      <c r="J226" s="3" t="s">
        <v>51</v>
      </c>
      <c r="K226" s="3" t="s">
        <v>140</v>
      </c>
      <c r="L226" s="7">
        <v>500000</v>
      </c>
      <c r="M226" s="3" t="s">
        <v>31</v>
      </c>
      <c r="N226" s="3" t="s">
        <v>24</v>
      </c>
      <c r="O226" s="7">
        <v>462900</v>
      </c>
      <c r="P226" s="8"/>
      <c r="Q226" s="7" t="str">
        <f t="shared" si="11"/>
        <v/>
      </c>
    </row>
    <row r="227" ht="14.25" hidden="1" customHeight="1" spans="1:17">
      <c r="A227" s="3" t="s">
        <v>54</v>
      </c>
      <c r="B227" s="4">
        <v>45865</v>
      </c>
      <c r="C227" s="4">
        <v>45896</v>
      </c>
      <c r="D227" s="5">
        <v>0.614583333333333</v>
      </c>
      <c r="E227" s="6">
        <f t="shared" si="9"/>
        <v>2025</v>
      </c>
      <c r="F227" s="6">
        <f ca="1" t="shared" si="10"/>
        <v>-335</v>
      </c>
      <c r="G227" s="3" t="s">
        <v>18</v>
      </c>
      <c r="H227" s="3" t="s">
        <v>86</v>
      </c>
      <c r="I227" s="3" t="s">
        <v>55</v>
      </c>
      <c r="J227" s="3" t="s">
        <v>109</v>
      </c>
      <c r="K227" s="3" t="s">
        <v>97</v>
      </c>
      <c r="L227" s="7">
        <v>350000</v>
      </c>
      <c r="M227" s="3" t="s">
        <v>23</v>
      </c>
      <c r="N227" s="3" t="s">
        <v>57</v>
      </c>
      <c r="O227" s="7">
        <v>340100</v>
      </c>
      <c r="P227" s="8"/>
      <c r="Q227" s="7" t="str">
        <f t="shared" si="11"/>
        <v/>
      </c>
    </row>
    <row r="228" ht="14.25" hidden="1" customHeight="1" spans="1:17">
      <c r="A228" s="3" t="s">
        <v>208</v>
      </c>
      <c r="B228" s="4">
        <v>45757</v>
      </c>
      <c r="C228" s="4">
        <v>45893</v>
      </c>
      <c r="D228" s="5">
        <v>0.5</v>
      </c>
      <c r="E228" s="6">
        <f t="shared" si="9"/>
        <v>2025</v>
      </c>
      <c r="F228" s="6">
        <f ca="1" t="shared" si="10"/>
        <v>-338</v>
      </c>
      <c r="G228" s="3" t="s">
        <v>26</v>
      </c>
      <c r="H228" s="3" t="s">
        <v>58</v>
      </c>
      <c r="I228" s="3" t="s">
        <v>209</v>
      </c>
      <c r="J228" s="3" t="s">
        <v>35</v>
      </c>
      <c r="K228" s="3" t="s">
        <v>97</v>
      </c>
      <c r="L228" s="7">
        <v>80000</v>
      </c>
      <c r="M228" s="3" t="s">
        <v>31</v>
      </c>
      <c r="N228" s="3" t="s">
        <v>128</v>
      </c>
      <c r="O228" s="7">
        <v>78200</v>
      </c>
      <c r="P228" s="8"/>
      <c r="Q228" s="7" t="str">
        <f t="shared" si="11"/>
        <v/>
      </c>
    </row>
    <row r="229" ht="14.25" customHeight="1" spans="1:17">
      <c r="A229" s="3" t="s">
        <v>285</v>
      </c>
      <c r="B229" s="4">
        <v>45845</v>
      </c>
      <c r="C229" s="4">
        <v>45889</v>
      </c>
      <c r="D229" s="5">
        <v>0.625</v>
      </c>
      <c r="E229" s="6">
        <f t="shared" si="9"/>
        <v>2025</v>
      </c>
      <c r="F229" s="6">
        <f ca="1" t="shared" si="10"/>
        <v>-342</v>
      </c>
      <c r="G229" s="3" t="s">
        <v>18</v>
      </c>
      <c r="H229" s="3" t="s">
        <v>286</v>
      </c>
      <c r="I229" s="3" t="s">
        <v>287</v>
      </c>
      <c r="J229" s="3" t="s">
        <v>35</v>
      </c>
      <c r="K229" s="3" t="s">
        <v>52</v>
      </c>
      <c r="L229" s="7">
        <v>80000</v>
      </c>
      <c r="M229" s="3" t="s">
        <v>31</v>
      </c>
      <c r="N229" s="3" t="s">
        <v>179</v>
      </c>
      <c r="O229" s="7">
        <v>78100</v>
      </c>
      <c r="P229" s="8">
        <v>1</v>
      </c>
      <c r="Q229" s="7">
        <f t="shared" si="11"/>
        <v>78100</v>
      </c>
    </row>
    <row r="230" ht="14.25" hidden="1" customHeight="1" spans="1:17">
      <c r="A230" s="3" t="s">
        <v>25</v>
      </c>
      <c r="B230" s="4">
        <v>45767</v>
      </c>
      <c r="C230" s="4">
        <v>45886</v>
      </c>
      <c r="D230" s="5">
        <v>0.489583333333333</v>
      </c>
      <c r="E230" s="6">
        <f t="shared" si="9"/>
        <v>2025</v>
      </c>
      <c r="F230" s="6">
        <f ca="1" t="shared" si="10"/>
        <v>-345</v>
      </c>
      <c r="G230" s="3" t="s">
        <v>26</v>
      </c>
      <c r="H230" s="3" t="s">
        <v>123</v>
      </c>
      <c r="I230" s="3" t="s">
        <v>95</v>
      </c>
      <c r="J230" s="3" t="s">
        <v>51</v>
      </c>
      <c r="K230" s="3" t="s">
        <v>67</v>
      </c>
      <c r="L230" s="7">
        <v>120000</v>
      </c>
      <c r="M230" s="3" t="s">
        <v>31</v>
      </c>
      <c r="N230" s="3" t="s">
        <v>124</v>
      </c>
      <c r="O230" s="7">
        <v>122000</v>
      </c>
      <c r="P230" s="8"/>
      <c r="Q230" s="7" t="str">
        <f t="shared" si="11"/>
        <v/>
      </c>
    </row>
    <row r="231" ht="14.25" customHeight="1" spans="1:17">
      <c r="A231" s="3" t="s">
        <v>216</v>
      </c>
      <c r="B231" s="4">
        <v>45808</v>
      </c>
      <c r="C231" s="4">
        <v>45886</v>
      </c>
      <c r="D231" s="5">
        <v>0.416666666666667</v>
      </c>
      <c r="E231" s="6">
        <f t="shared" si="9"/>
        <v>2025</v>
      </c>
      <c r="F231" s="6">
        <f ca="1" t="shared" si="10"/>
        <v>-345</v>
      </c>
      <c r="G231" s="3" t="s">
        <v>26</v>
      </c>
      <c r="H231" s="3" t="s">
        <v>58</v>
      </c>
      <c r="I231" s="3" t="s">
        <v>218</v>
      </c>
      <c r="J231" s="3" t="s">
        <v>41</v>
      </c>
      <c r="K231" s="3" t="s">
        <v>62</v>
      </c>
      <c r="L231" s="7">
        <v>120000</v>
      </c>
      <c r="M231" s="3" t="s">
        <v>53</v>
      </c>
      <c r="N231" s="3" t="s">
        <v>32</v>
      </c>
      <c r="O231" s="7">
        <v>104300</v>
      </c>
      <c r="P231" s="8">
        <v>1</v>
      </c>
      <c r="Q231" s="7">
        <f t="shared" si="11"/>
        <v>104300</v>
      </c>
    </row>
    <row r="232" ht="14.25" hidden="1" customHeight="1" spans="1:17">
      <c r="A232" s="3" t="s">
        <v>48</v>
      </c>
      <c r="B232" s="4">
        <v>45771</v>
      </c>
      <c r="C232" s="4">
        <v>45884</v>
      </c>
      <c r="D232" s="5">
        <v>0.4375</v>
      </c>
      <c r="E232" s="6">
        <f t="shared" si="9"/>
        <v>2025</v>
      </c>
      <c r="F232" s="6">
        <f ca="1" t="shared" si="10"/>
        <v>-347</v>
      </c>
      <c r="G232" s="3" t="s">
        <v>26</v>
      </c>
      <c r="H232" s="3" t="s">
        <v>288</v>
      </c>
      <c r="I232" s="3" t="s">
        <v>139</v>
      </c>
      <c r="J232" s="3" t="s">
        <v>51</v>
      </c>
      <c r="K232" s="3" t="s">
        <v>93</v>
      </c>
      <c r="L232" s="7">
        <v>1000000</v>
      </c>
      <c r="M232" s="3" t="s">
        <v>31</v>
      </c>
      <c r="N232" s="3" t="s">
        <v>24</v>
      </c>
      <c r="O232" s="7">
        <v>914600</v>
      </c>
      <c r="P232" s="8"/>
      <c r="Q232" s="7" t="str">
        <f t="shared" si="11"/>
        <v/>
      </c>
    </row>
    <row r="233" ht="14.25" customHeight="1" spans="1:17">
      <c r="A233" s="3" t="s">
        <v>43</v>
      </c>
      <c r="B233" s="4">
        <v>45847</v>
      </c>
      <c r="C233" s="4">
        <v>45882</v>
      </c>
      <c r="D233" s="5">
        <v>0.645833333333333</v>
      </c>
      <c r="E233" s="6">
        <f t="shared" si="9"/>
        <v>2025</v>
      </c>
      <c r="F233" s="6">
        <f ca="1" t="shared" si="10"/>
        <v>-349</v>
      </c>
      <c r="G233" s="3" t="s">
        <v>18</v>
      </c>
      <c r="H233" s="3" t="s">
        <v>114</v>
      </c>
      <c r="I233" s="3" t="s">
        <v>45</v>
      </c>
      <c r="J233" s="3" t="s">
        <v>21</v>
      </c>
      <c r="K233" s="3" t="s">
        <v>62</v>
      </c>
      <c r="L233" s="7">
        <v>750000</v>
      </c>
      <c r="M233" s="3" t="s">
        <v>31</v>
      </c>
      <c r="N233" s="3" t="s">
        <v>24</v>
      </c>
      <c r="O233" s="7">
        <v>727100</v>
      </c>
      <c r="P233" s="8">
        <v>1</v>
      </c>
      <c r="Q233" s="7">
        <f t="shared" si="11"/>
        <v>727100</v>
      </c>
    </row>
    <row r="234" ht="14.25" hidden="1" customHeight="1" spans="1:17">
      <c r="A234" s="3" t="s">
        <v>25</v>
      </c>
      <c r="B234" s="4">
        <v>45842</v>
      </c>
      <c r="C234" s="4">
        <v>45879</v>
      </c>
      <c r="D234" s="5">
        <v>0.4375</v>
      </c>
      <c r="E234" s="6">
        <f t="shared" si="9"/>
        <v>2025</v>
      </c>
      <c r="F234" s="6">
        <f ca="1" t="shared" si="10"/>
        <v>-352</v>
      </c>
      <c r="G234" s="3" t="s">
        <v>18</v>
      </c>
      <c r="H234" s="3" t="s">
        <v>289</v>
      </c>
      <c r="I234" s="3" t="s">
        <v>290</v>
      </c>
      <c r="J234" s="3" t="s">
        <v>29</v>
      </c>
      <c r="K234" s="3" t="s">
        <v>140</v>
      </c>
      <c r="L234" s="7">
        <v>80000</v>
      </c>
      <c r="M234" s="3" t="s">
        <v>23</v>
      </c>
      <c r="N234" s="3" t="s">
        <v>24</v>
      </c>
      <c r="O234" s="7">
        <v>70700</v>
      </c>
      <c r="P234" s="8"/>
      <c r="Q234" s="7" t="str">
        <f t="shared" si="11"/>
        <v/>
      </c>
    </row>
    <row r="235" ht="14.25" customHeight="1" spans="1:17">
      <c r="A235" s="3" t="s">
        <v>25</v>
      </c>
      <c r="B235" s="4">
        <v>45831</v>
      </c>
      <c r="C235" s="4">
        <v>45878</v>
      </c>
      <c r="D235" s="5">
        <v>0.5</v>
      </c>
      <c r="E235" s="6">
        <f t="shared" si="9"/>
        <v>2025</v>
      </c>
      <c r="F235" s="6">
        <f ca="1" t="shared" si="10"/>
        <v>-353</v>
      </c>
      <c r="G235" s="3" t="s">
        <v>38</v>
      </c>
      <c r="H235" s="3" t="s">
        <v>197</v>
      </c>
      <c r="I235" s="3" t="s">
        <v>291</v>
      </c>
      <c r="J235" s="3" t="s">
        <v>41</v>
      </c>
      <c r="K235" s="3" t="s">
        <v>52</v>
      </c>
      <c r="L235" s="7">
        <v>1000000</v>
      </c>
      <c r="M235" s="3" t="s">
        <v>31</v>
      </c>
      <c r="N235" s="3" t="s">
        <v>24</v>
      </c>
      <c r="O235" s="7">
        <v>993100</v>
      </c>
      <c r="P235" s="8">
        <v>1</v>
      </c>
      <c r="Q235" s="7">
        <f t="shared" si="11"/>
        <v>993100</v>
      </c>
    </row>
    <row r="236" ht="14.25" customHeight="1" spans="1:17">
      <c r="A236" s="3" t="s">
        <v>17</v>
      </c>
      <c r="B236" s="4">
        <v>45790</v>
      </c>
      <c r="C236" s="4">
        <v>45877</v>
      </c>
      <c r="D236" s="5">
        <v>0.4375</v>
      </c>
      <c r="E236" s="6">
        <f t="shared" si="9"/>
        <v>2025</v>
      </c>
      <c r="F236" s="6">
        <f ca="1" t="shared" si="10"/>
        <v>-354</v>
      </c>
      <c r="G236" s="3" t="s">
        <v>26</v>
      </c>
      <c r="H236" s="3" t="s">
        <v>171</v>
      </c>
      <c r="I236" s="3" t="s">
        <v>40</v>
      </c>
      <c r="J236" s="3" t="s">
        <v>51</v>
      </c>
      <c r="K236" s="3" t="s">
        <v>52</v>
      </c>
      <c r="L236" s="7">
        <v>750000</v>
      </c>
      <c r="M236" s="3" t="s">
        <v>42</v>
      </c>
      <c r="N236" s="3" t="s">
        <v>57</v>
      </c>
      <c r="O236" s="7">
        <v>669300</v>
      </c>
      <c r="P236" s="8">
        <v>1</v>
      </c>
      <c r="Q236" s="7">
        <f t="shared" si="11"/>
        <v>669300</v>
      </c>
    </row>
    <row r="237" ht="14.25" hidden="1" customHeight="1" spans="1:17">
      <c r="A237" s="3" t="s">
        <v>285</v>
      </c>
      <c r="B237" s="4">
        <v>45714</v>
      </c>
      <c r="C237" s="4">
        <v>45876</v>
      </c>
      <c r="D237" s="5">
        <v>0.427083333333333</v>
      </c>
      <c r="E237" s="6">
        <f t="shared" si="9"/>
        <v>2025</v>
      </c>
      <c r="F237" s="6">
        <f ca="1" t="shared" si="10"/>
        <v>-355</v>
      </c>
      <c r="G237" s="3" t="s">
        <v>18</v>
      </c>
      <c r="H237" s="3" t="s">
        <v>292</v>
      </c>
      <c r="I237" s="3" t="s">
        <v>287</v>
      </c>
      <c r="J237" s="3" t="s">
        <v>109</v>
      </c>
      <c r="K237" s="3" t="s">
        <v>97</v>
      </c>
      <c r="L237" s="7">
        <v>500000</v>
      </c>
      <c r="M237" s="3" t="s">
        <v>31</v>
      </c>
      <c r="N237" s="3" t="s">
        <v>24</v>
      </c>
      <c r="O237" s="7">
        <v>493600</v>
      </c>
      <c r="P237" s="8"/>
      <c r="Q237" s="7" t="str">
        <f t="shared" si="11"/>
        <v/>
      </c>
    </row>
    <row r="238" ht="14.25" customHeight="1" spans="1:17">
      <c r="A238" s="3" t="s">
        <v>25</v>
      </c>
      <c r="B238" s="4">
        <v>45755</v>
      </c>
      <c r="C238" s="4">
        <v>45872</v>
      </c>
      <c r="D238" s="5">
        <v>0.53125</v>
      </c>
      <c r="E238" s="6">
        <f t="shared" si="9"/>
        <v>2025</v>
      </c>
      <c r="F238" s="6">
        <f ca="1" t="shared" si="10"/>
        <v>-359</v>
      </c>
      <c r="G238" s="3" t="s">
        <v>18</v>
      </c>
      <c r="H238" s="3" t="s">
        <v>131</v>
      </c>
      <c r="I238" s="3" t="s">
        <v>207</v>
      </c>
      <c r="J238" s="3" t="s">
        <v>51</v>
      </c>
      <c r="K238" s="3" t="s">
        <v>52</v>
      </c>
      <c r="L238" s="7">
        <v>50000</v>
      </c>
      <c r="M238" s="3" t="s">
        <v>31</v>
      </c>
      <c r="N238" s="3" t="s">
        <v>128</v>
      </c>
      <c r="O238" s="7">
        <v>52200</v>
      </c>
      <c r="P238" s="8">
        <v>1</v>
      </c>
      <c r="Q238" s="7">
        <f t="shared" si="11"/>
        <v>52200</v>
      </c>
    </row>
    <row r="239" ht="14.25" hidden="1" customHeight="1" spans="1:17">
      <c r="A239" s="3" t="s">
        <v>73</v>
      </c>
      <c r="B239" s="4">
        <v>45807</v>
      </c>
      <c r="C239" s="4">
        <v>45869</v>
      </c>
      <c r="D239" s="5">
        <v>0.4375</v>
      </c>
      <c r="E239" s="6">
        <f t="shared" si="9"/>
        <v>2025</v>
      </c>
      <c r="F239" s="6">
        <f ca="1" t="shared" si="10"/>
        <v>-362</v>
      </c>
      <c r="G239" s="3" t="s">
        <v>38</v>
      </c>
      <c r="H239" s="3" t="s">
        <v>49</v>
      </c>
      <c r="I239" s="3" t="s">
        <v>143</v>
      </c>
      <c r="J239" s="3" t="s">
        <v>109</v>
      </c>
      <c r="K239" s="3" t="s">
        <v>67</v>
      </c>
      <c r="L239" s="7">
        <v>250000</v>
      </c>
      <c r="M239" s="3" t="s">
        <v>68</v>
      </c>
      <c r="N239" s="3" t="s">
        <v>155</v>
      </c>
      <c r="O239" s="7">
        <v>230400</v>
      </c>
      <c r="P239" s="8"/>
      <c r="Q239" s="7" t="str">
        <f t="shared" si="11"/>
        <v/>
      </c>
    </row>
    <row r="240" ht="14.25" hidden="1" customHeight="1" spans="1:17">
      <c r="A240" s="3" t="s">
        <v>125</v>
      </c>
      <c r="B240" s="4">
        <v>45821</v>
      </c>
      <c r="C240" s="4">
        <v>45869</v>
      </c>
      <c r="D240" s="5">
        <v>0.604166666666667</v>
      </c>
      <c r="E240" s="6">
        <f t="shared" si="9"/>
        <v>2025</v>
      </c>
      <c r="F240" s="6">
        <f ca="1" t="shared" si="10"/>
        <v>-362</v>
      </c>
      <c r="G240" s="3" t="s">
        <v>26</v>
      </c>
      <c r="H240" s="3" t="s">
        <v>83</v>
      </c>
      <c r="I240" s="3" t="s">
        <v>127</v>
      </c>
      <c r="J240" s="3" t="s">
        <v>21</v>
      </c>
      <c r="K240" s="3" t="s">
        <v>93</v>
      </c>
      <c r="L240" s="7">
        <v>80000</v>
      </c>
      <c r="M240" s="3" t="s">
        <v>31</v>
      </c>
      <c r="N240" s="3" t="s">
        <v>78</v>
      </c>
      <c r="O240" s="7">
        <v>69300</v>
      </c>
      <c r="P240" s="8"/>
      <c r="Q240" s="7" t="str">
        <f t="shared" si="11"/>
        <v/>
      </c>
    </row>
    <row r="241" ht="14.25" hidden="1" customHeight="1" spans="1:17">
      <c r="A241" s="3" t="s">
        <v>25</v>
      </c>
      <c r="B241" s="4">
        <v>45821</v>
      </c>
      <c r="C241" s="4">
        <v>45865</v>
      </c>
      <c r="D241" s="5">
        <v>0.5</v>
      </c>
      <c r="E241" s="6">
        <f t="shared" si="9"/>
        <v>2025</v>
      </c>
      <c r="F241" s="6">
        <f ca="1" t="shared" si="10"/>
        <v>-366</v>
      </c>
      <c r="G241" s="3" t="s">
        <v>26</v>
      </c>
      <c r="H241" s="3" t="s">
        <v>293</v>
      </c>
      <c r="I241" s="3" t="s">
        <v>95</v>
      </c>
      <c r="J241" s="3" t="s">
        <v>51</v>
      </c>
      <c r="K241" s="3" t="s">
        <v>215</v>
      </c>
      <c r="L241" s="7">
        <v>1500000</v>
      </c>
      <c r="M241" s="3" t="s">
        <v>31</v>
      </c>
      <c r="N241" s="3" t="s">
        <v>24</v>
      </c>
      <c r="O241" s="7">
        <v>1411600</v>
      </c>
      <c r="P241" s="8"/>
      <c r="Q241" s="7" t="str">
        <f t="shared" si="11"/>
        <v/>
      </c>
    </row>
    <row r="242" ht="14.25" hidden="1" customHeight="1" spans="1:17">
      <c r="A242" s="3" t="s">
        <v>17</v>
      </c>
      <c r="B242" s="4">
        <v>45810</v>
      </c>
      <c r="C242" s="4">
        <v>45864</v>
      </c>
      <c r="D242" s="5">
        <v>0.510416666666667</v>
      </c>
      <c r="E242" s="6">
        <f t="shared" si="9"/>
        <v>2025</v>
      </c>
      <c r="F242" s="6">
        <f ca="1" t="shared" si="10"/>
        <v>-367</v>
      </c>
      <c r="G242" s="3" t="s">
        <v>18</v>
      </c>
      <c r="H242" s="3" t="s">
        <v>294</v>
      </c>
      <c r="I242" s="3" t="s">
        <v>107</v>
      </c>
      <c r="J242" s="3" t="s">
        <v>29</v>
      </c>
      <c r="K242" s="3" t="s">
        <v>140</v>
      </c>
      <c r="L242" s="7">
        <v>80000</v>
      </c>
      <c r="M242" s="3" t="s">
        <v>37</v>
      </c>
      <c r="N242" s="3" t="s">
        <v>155</v>
      </c>
      <c r="O242" s="7">
        <v>78600</v>
      </c>
      <c r="P242" s="8"/>
      <c r="Q242" s="7" t="str">
        <f t="shared" si="11"/>
        <v/>
      </c>
    </row>
    <row r="243" ht="14.25" hidden="1" customHeight="1" spans="1:17">
      <c r="A243" s="3" t="s">
        <v>25</v>
      </c>
      <c r="B243" s="4">
        <v>45820</v>
      </c>
      <c r="C243" s="4">
        <v>45863</v>
      </c>
      <c r="D243" s="5">
        <v>0.65625</v>
      </c>
      <c r="E243" s="6">
        <f t="shared" si="9"/>
        <v>2025</v>
      </c>
      <c r="F243" s="6">
        <f ca="1" t="shared" si="10"/>
        <v>-368</v>
      </c>
      <c r="G243" s="3" t="s">
        <v>26</v>
      </c>
      <c r="H243" s="3" t="s">
        <v>27</v>
      </c>
      <c r="I243" s="3" t="s">
        <v>120</v>
      </c>
      <c r="J243" s="3" t="s">
        <v>41</v>
      </c>
      <c r="K243" s="3" t="s">
        <v>93</v>
      </c>
      <c r="L243" s="7">
        <v>180000</v>
      </c>
      <c r="M243" s="3" t="s">
        <v>31</v>
      </c>
      <c r="N243" s="3" t="s">
        <v>24</v>
      </c>
      <c r="O243" s="7">
        <v>167300</v>
      </c>
      <c r="P243" s="8"/>
      <c r="Q243" s="7" t="str">
        <f t="shared" si="11"/>
        <v/>
      </c>
    </row>
    <row r="244" ht="14.25" hidden="1" customHeight="1" spans="1:17">
      <c r="A244" s="3" t="s">
        <v>73</v>
      </c>
      <c r="B244" s="4">
        <v>45823</v>
      </c>
      <c r="C244" s="4">
        <v>45862</v>
      </c>
      <c r="D244" s="5">
        <v>0.59375</v>
      </c>
      <c r="E244" s="6">
        <f t="shared" si="9"/>
        <v>2025</v>
      </c>
      <c r="F244" s="6">
        <f ca="1" t="shared" si="10"/>
        <v>-369</v>
      </c>
      <c r="G244" s="3" t="s">
        <v>26</v>
      </c>
      <c r="H244" s="3" t="s">
        <v>74</v>
      </c>
      <c r="I244" s="3" t="s">
        <v>238</v>
      </c>
      <c r="J244" s="3" t="s">
        <v>21</v>
      </c>
      <c r="K244" s="3" t="s">
        <v>97</v>
      </c>
      <c r="L244" s="7">
        <v>80000</v>
      </c>
      <c r="M244" s="3" t="s">
        <v>31</v>
      </c>
      <c r="N244" s="3" t="s">
        <v>57</v>
      </c>
      <c r="O244" s="7">
        <v>80400</v>
      </c>
      <c r="P244" s="8"/>
      <c r="Q244" s="7" t="str">
        <f t="shared" si="11"/>
        <v/>
      </c>
    </row>
    <row r="245" ht="14.25" hidden="1" customHeight="1" spans="1:17">
      <c r="A245" s="3" t="s">
        <v>17</v>
      </c>
      <c r="B245" s="4">
        <v>45704</v>
      </c>
      <c r="C245" s="4">
        <v>45861</v>
      </c>
      <c r="D245" s="5">
        <v>0.489583333333333</v>
      </c>
      <c r="E245" s="6">
        <f t="shared" si="9"/>
        <v>2025</v>
      </c>
      <c r="F245" s="6">
        <f ca="1" t="shared" si="10"/>
        <v>-370</v>
      </c>
      <c r="G245" s="3" t="s">
        <v>18</v>
      </c>
      <c r="H245" s="3" t="s">
        <v>205</v>
      </c>
      <c r="I245" s="3" t="s">
        <v>206</v>
      </c>
      <c r="J245" s="3" t="s">
        <v>21</v>
      </c>
      <c r="K245" s="3" t="s">
        <v>67</v>
      </c>
      <c r="L245" s="7">
        <v>500000</v>
      </c>
      <c r="M245" s="3" t="s">
        <v>53</v>
      </c>
      <c r="N245" s="3" t="s">
        <v>24</v>
      </c>
      <c r="O245" s="7">
        <v>485200</v>
      </c>
      <c r="P245" s="8"/>
      <c r="Q245" s="7" t="str">
        <f t="shared" si="11"/>
        <v/>
      </c>
    </row>
    <row r="246" ht="14.25" customHeight="1" spans="1:17">
      <c r="A246" s="3" t="s">
        <v>54</v>
      </c>
      <c r="B246" s="4">
        <v>45814</v>
      </c>
      <c r="C246" s="4">
        <v>45861</v>
      </c>
      <c r="D246" s="5">
        <v>0.604166666666667</v>
      </c>
      <c r="E246" s="6">
        <f t="shared" si="9"/>
        <v>2025</v>
      </c>
      <c r="F246" s="6">
        <f ca="1" t="shared" si="10"/>
        <v>-370</v>
      </c>
      <c r="G246" s="3" t="s">
        <v>26</v>
      </c>
      <c r="H246" s="3" t="s">
        <v>27</v>
      </c>
      <c r="I246" s="3" t="s">
        <v>55</v>
      </c>
      <c r="J246" s="3" t="s">
        <v>21</v>
      </c>
      <c r="K246" s="3" t="s">
        <v>52</v>
      </c>
      <c r="L246" s="7">
        <v>750000</v>
      </c>
      <c r="M246" s="3" t="s">
        <v>56</v>
      </c>
      <c r="N246" s="3" t="s">
        <v>57</v>
      </c>
      <c r="O246" s="7">
        <v>692000</v>
      </c>
      <c r="P246" s="8">
        <v>1</v>
      </c>
      <c r="Q246" s="7">
        <f t="shared" si="11"/>
        <v>692000</v>
      </c>
    </row>
    <row r="247" ht="14.25" hidden="1" customHeight="1" spans="1:17">
      <c r="A247" s="3" t="s">
        <v>17</v>
      </c>
      <c r="B247" s="4">
        <v>45791</v>
      </c>
      <c r="C247" s="4">
        <v>45861</v>
      </c>
      <c r="D247" s="5">
        <v>0.458333333333333</v>
      </c>
      <c r="E247" s="6">
        <f t="shared" si="9"/>
        <v>2025</v>
      </c>
      <c r="F247" s="6">
        <f ca="1" t="shared" si="10"/>
        <v>-370</v>
      </c>
      <c r="G247" s="3" t="s">
        <v>26</v>
      </c>
      <c r="H247" s="3" t="s">
        <v>295</v>
      </c>
      <c r="I247" s="3" t="s">
        <v>199</v>
      </c>
      <c r="J247" s="3" t="s">
        <v>109</v>
      </c>
      <c r="K247" s="3" t="s">
        <v>67</v>
      </c>
      <c r="L247" s="7">
        <v>750000</v>
      </c>
      <c r="M247" s="3" t="s">
        <v>68</v>
      </c>
      <c r="N247" s="3" t="s">
        <v>32</v>
      </c>
      <c r="O247" s="7">
        <v>775400</v>
      </c>
      <c r="P247" s="8"/>
      <c r="Q247" s="7" t="str">
        <f t="shared" si="11"/>
        <v/>
      </c>
    </row>
    <row r="248" ht="14.25" customHeight="1" spans="1:17">
      <c r="A248" s="3" t="s">
        <v>48</v>
      </c>
      <c r="B248" s="4">
        <v>45753</v>
      </c>
      <c r="C248" s="4">
        <v>45854</v>
      </c>
      <c r="D248" s="5">
        <v>0.614583333333333</v>
      </c>
      <c r="E248" s="6">
        <f t="shared" si="9"/>
        <v>2025</v>
      </c>
      <c r="F248" s="6">
        <f ca="1" t="shared" si="10"/>
        <v>-377</v>
      </c>
      <c r="G248" s="3" t="s">
        <v>18</v>
      </c>
      <c r="H248" s="3" t="s">
        <v>131</v>
      </c>
      <c r="I248" s="3" t="s">
        <v>139</v>
      </c>
      <c r="J248" s="3" t="s">
        <v>51</v>
      </c>
      <c r="K248" s="3" t="s">
        <v>62</v>
      </c>
      <c r="L248" s="7">
        <v>350000</v>
      </c>
      <c r="M248" s="3" t="s">
        <v>31</v>
      </c>
      <c r="N248" s="3" t="s">
        <v>24</v>
      </c>
      <c r="O248" s="7">
        <v>337300</v>
      </c>
      <c r="P248" s="8">
        <v>1</v>
      </c>
      <c r="Q248" s="7">
        <f t="shared" si="11"/>
        <v>337300</v>
      </c>
    </row>
    <row r="249" ht="14.25" customHeight="1" spans="1:17">
      <c r="A249" s="3" t="s">
        <v>17</v>
      </c>
      <c r="B249" s="4">
        <v>45742</v>
      </c>
      <c r="C249" s="4">
        <v>45851</v>
      </c>
      <c r="D249" s="5">
        <v>0.625</v>
      </c>
      <c r="E249" s="6">
        <f t="shared" si="9"/>
        <v>2025</v>
      </c>
      <c r="F249" s="6">
        <f ca="1" t="shared" si="10"/>
        <v>-380</v>
      </c>
      <c r="G249" s="3" t="s">
        <v>26</v>
      </c>
      <c r="H249" s="3" t="s">
        <v>174</v>
      </c>
      <c r="I249" s="3" t="s">
        <v>20</v>
      </c>
      <c r="J249" s="3" t="s">
        <v>21</v>
      </c>
      <c r="K249" s="3" t="s">
        <v>52</v>
      </c>
      <c r="L249" s="7">
        <v>500000</v>
      </c>
      <c r="M249" s="3" t="s">
        <v>23</v>
      </c>
      <c r="N249" s="3" t="s">
        <v>24</v>
      </c>
      <c r="O249" s="7">
        <v>478700</v>
      </c>
      <c r="P249" s="8">
        <v>1</v>
      </c>
      <c r="Q249" s="7">
        <f t="shared" si="11"/>
        <v>478700</v>
      </c>
    </row>
    <row r="250" ht="14.25" hidden="1" customHeight="1" spans="1:17">
      <c r="A250" s="3" t="s">
        <v>296</v>
      </c>
      <c r="B250" s="4">
        <v>45679</v>
      </c>
      <c r="C250" s="4">
        <v>45848</v>
      </c>
      <c r="D250" s="5">
        <v>0.583333333333333</v>
      </c>
      <c r="E250" s="6">
        <f t="shared" si="9"/>
        <v>2025</v>
      </c>
      <c r="F250" s="6">
        <f ca="1" t="shared" si="10"/>
        <v>-383</v>
      </c>
      <c r="G250" s="3" t="s">
        <v>18</v>
      </c>
      <c r="H250" s="3" t="s">
        <v>297</v>
      </c>
      <c r="I250" s="3" t="s">
        <v>298</v>
      </c>
      <c r="J250" s="3" t="s">
        <v>41</v>
      </c>
      <c r="K250" s="3" t="s">
        <v>67</v>
      </c>
      <c r="L250" s="7">
        <v>1000000</v>
      </c>
      <c r="M250" s="3" t="s">
        <v>53</v>
      </c>
      <c r="N250" s="3" t="s">
        <v>24</v>
      </c>
      <c r="O250" s="7">
        <v>982700</v>
      </c>
      <c r="P250" s="8"/>
      <c r="Q250" s="7" t="str">
        <f t="shared" si="11"/>
        <v/>
      </c>
    </row>
    <row r="251" ht="14.25" customHeight="1" spans="1:17">
      <c r="A251" s="3" t="s">
        <v>25</v>
      </c>
      <c r="B251" s="4">
        <v>45683</v>
      </c>
      <c r="C251" s="4">
        <v>45838</v>
      </c>
      <c r="D251" s="5">
        <v>0.5</v>
      </c>
      <c r="E251" s="6">
        <f t="shared" si="9"/>
        <v>2025</v>
      </c>
      <c r="F251" s="6">
        <f ca="1" t="shared" si="10"/>
        <v>-393</v>
      </c>
      <c r="G251" s="3" t="s">
        <v>26</v>
      </c>
      <c r="H251" s="3" t="s">
        <v>119</v>
      </c>
      <c r="I251" s="3" t="s">
        <v>290</v>
      </c>
      <c r="J251" s="3" t="s">
        <v>51</v>
      </c>
      <c r="K251" s="3" t="s">
        <v>52</v>
      </c>
      <c r="L251" s="7">
        <v>180000</v>
      </c>
      <c r="M251" s="3" t="s">
        <v>77</v>
      </c>
      <c r="N251" s="3" t="s">
        <v>24</v>
      </c>
      <c r="O251" s="7">
        <v>182900</v>
      </c>
      <c r="P251" s="8">
        <v>1</v>
      </c>
      <c r="Q251" s="7">
        <f t="shared" si="11"/>
        <v>182900</v>
      </c>
    </row>
    <row r="252" ht="14.25" customHeight="1" spans="1:17">
      <c r="A252" s="3" t="s">
        <v>85</v>
      </c>
      <c r="B252" s="4">
        <v>45729</v>
      </c>
      <c r="C252" s="4">
        <v>45837</v>
      </c>
      <c r="D252" s="5">
        <v>0.583333333333333</v>
      </c>
      <c r="E252" s="6">
        <f t="shared" si="9"/>
        <v>2025</v>
      </c>
      <c r="F252" s="6">
        <f ca="1" t="shared" si="10"/>
        <v>-394</v>
      </c>
      <c r="G252" s="3" t="s">
        <v>18</v>
      </c>
      <c r="H252" s="3" t="s">
        <v>131</v>
      </c>
      <c r="I252" s="3" t="s">
        <v>299</v>
      </c>
      <c r="J252" s="3" t="s">
        <v>109</v>
      </c>
      <c r="K252" s="3" t="s">
        <v>52</v>
      </c>
      <c r="L252" s="7">
        <v>1500000</v>
      </c>
      <c r="M252" s="3" t="s">
        <v>101</v>
      </c>
      <c r="N252" s="3" t="s">
        <v>148</v>
      </c>
      <c r="O252" s="7">
        <v>1513500</v>
      </c>
      <c r="P252" s="8">
        <v>1</v>
      </c>
      <c r="Q252" s="7">
        <f t="shared" si="11"/>
        <v>1513500</v>
      </c>
    </row>
    <row r="253" ht="14.25" customHeight="1" spans="1:17">
      <c r="A253" s="3" t="s">
        <v>25</v>
      </c>
      <c r="B253" s="4">
        <v>45683</v>
      </c>
      <c r="C253" s="4">
        <v>45837</v>
      </c>
      <c r="D253" s="5">
        <v>0.5625</v>
      </c>
      <c r="E253" s="6">
        <f t="shared" si="9"/>
        <v>2025</v>
      </c>
      <c r="F253" s="6">
        <f ca="1" t="shared" si="10"/>
        <v>-394</v>
      </c>
      <c r="G253" s="3" t="s">
        <v>18</v>
      </c>
      <c r="H253" s="3" t="s">
        <v>114</v>
      </c>
      <c r="I253" s="3" t="s">
        <v>212</v>
      </c>
      <c r="J253" s="3" t="s">
        <v>41</v>
      </c>
      <c r="K253" s="3" t="s">
        <v>52</v>
      </c>
      <c r="L253" s="7">
        <v>1500000</v>
      </c>
      <c r="M253" s="3" t="s">
        <v>101</v>
      </c>
      <c r="N253" s="3" t="s">
        <v>148</v>
      </c>
      <c r="O253" s="7">
        <v>1409100</v>
      </c>
      <c r="P253" s="8">
        <v>1</v>
      </c>
      <c r="Q253" s="7">
        <f t="shared" si="11"/>
        <v>1409100</v>
      </c>
    </row>
    <row r="254" ht="14.25" customHeight="1" spans="1:17">
      <c r="A254" s="3" t="s">
        <v>17</v>
      </c>
      <c r="B254" s="4">
        <v>45808</v>
      </c>
      <c r="C254" s="4">
        <v>45836</v>
      </c>
      <c r="D254" s="5">
        <v>0.479166666666667</v>
      </c>
      <c r="E254" s="6">
        <f t="shared" si="9"/>
        <v>2025</v>
      </c>
      <c r="F254" s="6">
        <f ca="1" t="shared" si="10"/>
        <v>-395</v>
      </c>
      <c r="G254" s="3" t="s">
        <v>26</v>
      </c>
      <c r="H254" s="3" t="s">
        <v>185</v>
      </c>
      <c r="I254" s="3" t="s">
        <v>66</v>
      </c>
      <c r="J254" s="3" t="s">
        <v>51</v>
      </c>
      <c r="K254" s="3" t="s">
        <v>52</v>
      </c>
      <c r="L254" s="7">
        <v>1000000</v>
      </c>
      <c r="M254" s="3" t="s">
        <v>53</v>
      </c>
      <c r="N254" s="3" t="s">
        <v>78</v>
      </c>
      <c r="O254" s="7">
        <v>982800</v>
      </c>
      <c r="P254" s="8">
        <v>1</v>
      </c>
      <c r="Q254" s="7">
        <f t="shared" si="11"/>
        <v>982800</v>
      </c>
    </row>
    <row r="255" ht="14.25" hidden="1" customHeight="1" spans="1:17">
      <c r="A255" s="3" t="s">
        <v>25</v>
      </c>
      <c r="B255" s="4">
        <v>45698</v>
      </c>
      <c r="C255" s="4">
        <v>45835</v>
      </c>
      <c r="D255" s="5">
        <v>0.447916666666667</v>
      </c>
      <c r="E255" s="6">
        <f t="shared" si="9"/>
        <v>2025</v>
      </c>
      <c r="F255" s="6">
        <f ca="1" t="shared" si="10"/>
        <v>-396</v>
      </c>
      <c r="G255" s="3" t="s">
        <v>26</v>
      </c>
      <c r="H255" s="3" t="s">
        <v>211</v>
      </c>
      <c r="I255" s="3" t="s">
        <v>222</v>
      </c>
      <c r="J255" s="3" t="s">
        <v>109</v>
      </c>
      <c r="K255" s="3" t="s">
        <v>67</v>
      </c>
      <c r="L255" s="7">
        <v>750000</v>
      </c>
      <c r="M255" s="3" t="s">
        <v>42</v>
      </c>
      <c r="N255" s="3" t="s">
        <v>105</v>
      </c>
      <c r="O255" s="7">
        <v>698200</v>
      </c>
      <c r="P255" s="8"/>
      <c r="Q255" s="7" t="str">
        <f t="shared" si="11"/>
        <v/>
      </c>
    </row>
    <row r="256" ht="14.25" hidden="1" customHeight="1" spans="1:17">
      <c r="A256" s="3" t="s">
        <v>17</v>
      </c>
      <c r="B256" s="4">
        <v>45761</v>
      </c>
      <c r="C256" s="4">
        <v>45833</v>
      </c>
      <c r="D256" s="5">
        <v>0.447916666666667</v>
      </c>
      <c r="E256" s="6">
        <f t="shared" si="9"/>
        <v>2025</v>
      </c>
      <c r="F256" s="6">
        <f ca="1" t="shared" si="10"/>
        <v>-398</v>
      </c>
      <c r="G256" s="3" t="s">
        <v>18</v>
      </c>
      <c r="H256" s="3" t="s">
        <v>300</v>
      </c>
      <c r="I256" s="3" t="s">
        <v>20</v>
      </c>
      <c r="J256" s="3" t="s">
        <v>51</v>
      </c>
      <c r="K256" s="3" t="s">
        <v>67</v>
      </c>
      <c r="L256" s="7">
        <v>350000</v>
      </c>
      <c r="M256" s="3" t="s">
        <v>53</v>
      </c>
      <c r="N256" s="3" t="s">
        <v>124</v>
      </c>
      <c r="O256" s="7">
        <v>304900</v>
      </c>
      <c r="P256" s="8"/>
      <c r="Q256" s="7" t="str">
        <f t="shared" si="11"/>
        <v/>
      </c>
    </row>
    <row r="257" ht="14.25" customHeight="1" spans="1:17">
      <c r="A257" s="3" t="s">
        <v>25</v>
      </c>
      <c r="B257" s="4">
        <v>45780</v>
      </c>
      <c r="C257" s="4">
        <v>45828</v>
      </c>
      <c r="D257" s="5">
        <v>0.645833333333333</v>
      </c>
      <c r="E257" s="6">
        <f t="shared" si="9"/>
        <v>2025</v>
      </c>
      <c r="F257" s="6">
        <f ca="1" t="shared" si="10"/>
        <v>-403</v>
      </c>
      <c r="G257" s="3" t="s">
        <v>26</v>
      </c>
      <c r="H257" s="3" t="s">
        <v>80</v>
      </c>
      <c r="I257" s="3" t="s">
        <v>120</v>
      </c>
      <c r="J257" s="3" t="s">
        <v>41</v>
      </c>
      <c r="K257" s="3" t="s">
        <v>62</v>
      </c>
      <c r="L257" s="7">
        <v>500000</v>
      </c>
      <c r="M257" s="3" t="s">
        <v>31</v>
      </c>
      <c r="N257" s="3" t="s">
        <v>105</v>
      </c>
      <c r="O257" s="7">
        <v>516500</v>
      </c>
      <c r="P257" s="8">
        <v>1</v>
      </c>
      <c r="Q257" s="7">
        <f t="shared" si="11"/>
        <v>516500</v>
      </c>
    </row>
    <row r="258" ht="14.25" hidden="1" customHeight="1" spans="1:17">
      <c r="A258" s="3" t="s">
        <v>17</v>
      </c>
      <c r="B258" s="4">
        <v>45730</v>
      </c>
      <c r="C258" s="4">
        <v>45828</v>
      </c>
      <c r="D258" s="5">
        <v>0.572916666666667</v>
      </c>
      <c r="E258" s="6">
        <f t="shared" ref="E258:E321" si="12">YEAR(C258)</f>
        <v>2025</v>
      </c>
      <c r="F258" s="6">
        <f ca="1" t="shared" ref="F258:F321" si="13">C258-TODAY()</f>
        <v>-403</v>
      </c>
      <c r="G258" s="3" t="s">
        <v>18</v>
      </c>
      <c r="H258" s="3" t="s">
        <v>205</v>
      </c>
      <c r="I258" s="3" t="s">
        <v>118</v>
      </c>
      <c r="J258" s="3" t="s">
        <v>109</v>
      </c>
      <c r="K258" s="3" t="s">
        <v>97</v>
      </c>
      <c r="L258" s="7">
        <v>180000</v>
      </c>
      <c r="M258" s="3" t="s">
        <v>101</v>
      </c>
      <c r="N258" s="3" t="s">
        <v>24</v>
      </c>
      <c r="O258" s="7">
        <v>182100</v>
      </c>
      <c r="P258" s="8"/>
      <c r="Q258" s="7" t="str">
        <f t="shared" ref="Q258:Q321" si="14">IF(P258="","",O258*P258)</f>
        <v/>
      </c>
    </row>
    <row r="259" ht="14.25" customHeight="1" spans="1:17">
      <c r="A259" s="3" t="s">
        <v>25</v>
      </c>
      <c r="B259" s="4">
        <v>45705</v>
      </c>
      <c r="C259" s="4">
        <v>45826</v>
      </c>
      <c r="D259" s="5">
        <v>0.541666666666667</v>
      </c>
      <c r="E259" s="6">
        <f t="shared" si="12"/>
        <v>2025</v>
      </c>
      <c r="F259" s="6">
        <f ca="1" t="shared" si="13"/>
        <v>-405</v>
      </c>
      <c r="G259" s="3" t="s">
        <v>18</v>
      </c>
      <c r="H259" s="3" t="s">
        <v>301</v>
      </c>
      <c r="I259" s="3" t="s">
        <v>165</v>
      </c>
      <c r="J259" s="3" t="s">
        <v>41</v>
      </c>
      <c r="K259" s="3" t="s">
        <v>52</v>
      </c>
      <c r="L259" s="7">
        <v>180000</v>
      </c>
      <c r="M259" s="3" t="s">
        <v>101</v>
      </c>
      <c r="N259" s="3" t="s">
        <v>163</v>
      </c>
      <c r="O259" s="7">
        <v>173600</v>
      </c>
      <c r="P259" s="8">
        <v>1</v>
      </c>
      <c r="Q259" s="7">
        <f t="shared" si="14"/>
        <v>173600</v>
      </c>
    </row>
    <row r="260" ht="14.25" hidden="1" customHeight="1" spans="1:17">
      <c r="A260" s="3" t="s">
        <v>54</v>
      </c>
      <c r="B260" s="4">
        <v>45721</v>
      </c>
      <c r="C260" s="4">
        <v>45824</v>
      </c>
      <c r="D260" s="5">
        <v>0.5625</v>
      </c>
      <c r="E260" s="6">
        <f t="shared" si="12"/>
        <v>2025</v>
      </c>
      <c r="F260" s="6">
        <f ca="1" t="shared" si="13"/>
        <v>-407</v>
      </c>
      <c r="G260" s="3" t="s">
        <v>26</v>
      </c>
      <c r="H260" s="3" t="s">
        <v>171</v>
      </c>
      <c r="I260" s="3" t="s">
        <v>302</v>
      </c>
      <c r="J260" s="3" t="s">
        <v>51</v>
      </c>
      <c r="K260" s="3" t="s">
        <v>67</v>
      </c>
      <c r="L260" s="7">
        <v>180000</v>
      </c>
      <c r="M260" s="3" t="s">
        <v>53</v>
      </c>
      <c r="N260" s="3" t="s">
        <v>24</v>
      </c>
      <c r="O260" s="7">
        <v>186700</v>
      </c>
      <c r="P260" s="8"/>
      <c r="Q260" s="7" t="str">
        <f t="shared" si="14"/>
        <v/>
      </c>
    </row>
    <row r="261" ht="14.25" hidden="1" customHeight="1" spans="1:17">
      <c r="A261" s="3" t="s">
        <v>48</v>
      </c>
      <c r="B261" s="4">
        <v>45764</v>
      </c>
      <c r="C261" s="4">
        <v>45821</v>
      </c>
      <c r="D261" s="5">
        <v>0.5625</v>
      </c>
      <c r="E261" s="6">
        <f t="shared" si="12"/>
        <v>2025</v>
      </c>
      <c r="F261" s="6">
        <f ca="1" t="shared" si="13"/>
        <v>-410</v>
      </c>
      <c r="G261" s="3" t="s">
        <v>38</v>
      </c>
      <c r="H261" s="3" t="s">
        <v>49</v>
      </c>
      <c r="I261" s="3" t="s">
        <v>50</v>
      </c>
      <c r="J261" s="3" t="s">
        <v>21</v>
      </c>
      <c r="K261" s="3" t="s">
        <v>215</v>
      </c>
      <c r="L261" s="7">
        <v>180000</v>
      </c>
      <c r="M261" s="3" t="s">
        <v>53</v>
      </c>
      <c r="N261" s="3" t="s">
        <v>24</v>
      </c>
      <c r="O261" s="7">
        <v>161800</v>
      </c>
      <c r="P261" s="8"/>
      <c r="Q261" s="7" t="str">
        <f t="shared" si="14"/>
        <v/>
      </c>
    </row>
    <row r="262" ht="14.25" customHeight="1" spans="1:17">
      <c r="A262" s="3" t="s">
        <v>17</v>
      </c>
      <c r="B262" s="4">
        <v>45717</v>
      </c>
      <c r="C262" s="4">
        <v>45818</v>
      </c>
      <c r="D262" s="5">
        <v>0.583333333333333</v>
      </c>
      <c r="E262" s="6">
        <f t="shared" si="12"/>
        <v>2025</v>
      </c>
      <c r="F262" s="6">
        <f ca="1" t="shared" si="13"/>
        <v>-413</v>
      </c>
      <c r="G262" s="3" t="s">
        <v>26</v>
      </c>
      <c r="H262" s="3" t="s">
        <v>111</v>
      </c>
      <c r="I262" s="3" t="s">
        <v>214</v>
      </c>
      <c r="J262" s="3" t="s">
        <v>41</v>
      </c>
      <c r="K262" s="3" t="s">
        <v>52</v>
      </c>
      <c r="L262" s="7">
        <v>750000</v>
      </c>
      <c r="M262" s="3" t="s">
        <v>23</v>
      </c>
      <c r="N262" s="3" t="s">
        <v>78</v>
      </c>
      <c r="O262" s="7">
        <v>644400</v>
      </c>
      <c r="P262" s="8">
        <v>1</v>
      </c>
      <c r="Q262" s="7">
        <f t="shared" si="14"/>
        <v>644400</v>
      </c>
    </row>
    <row r="263" ht="14.25" hidden="1" customHeight="1" spans="1:17">
      <c r="A263" s="3" t="s">
        <v>25</v>
      </c>
      <c r="B263" s="4">
        <v>45717</v>
      </c>
      <c r="C263" s="4">
        <v>45818</v>
      </c>
      <c r="D263" s="5">
        <v>0.4375</v>
      </c>
      <c r="E263" s="6">
        <f t="shared" si="12"/>
        <v>2025</v>
      </c>
      <c r="F263" s="6">
        <f ca="1" t="shared" si="13"/>
        <v>-413</v>
      </c>
      <c r="G263" s="3" t="s">
        <v>26</v>
      </c>
      <c r="H263" s="3" t="s">
        <v>58</v>
      </c>
      <c r="I263" s="3" t="s">
        <v>160</v>
      </c>
      <c r="J263" s="3" t="s">
        <v>41</v>
      </c>
      <c r="K263" s="3" t="s">
        <v>67</v>
      </c>
      <c r="L263" s="7">
        <v>350000</v>
      </c>
      <c r="M263" s="3" t="s">
        <v>104</v>
      </c>
      <c r="N263" s="3" t="s">
        <v>72</v>
      </c>
      <c r="O263" s="7">
        <v>352400</v>
      </c>
      <c r="P263" s="8"/>
      <c r="Q263" s="7" t="str">
        <f t="shared" si="14"/>
        <v/>
      </c>
    </row>
    <row r="264" ht="14.25" hidden="1" customHeight="1" spans="1:17">
      <c r="A264" s="3" t="s">
        <v>43</v>
      </c>
      <c r="B264" s="4">
        <v>45649</v>
      </c>
      <c r="C264" s="4">
        <v>45817</v>
      </c>
      <c r="D264" s="5">
        <v>0.65625</v>
      </c>
      <c r="E264" s="6">
        <f t="shared" si="12"/>
        <v>2025</v>
      </c>
      <c r="F264" s="6">
        <f ca="1" t="shared" si="13"/>
        <v>-414</v>
      </c>
      <c r="G264" s="3" t="s">
        <v>18</v>
      </c>
      <c r="H264" s="3" t="s">
        <v>114</v>
      </c>
      <c r="I264" s="3" t="s">
        <v>276</v>
      </c>
      <c r="J264" s="3" t="s">
        <v>41</v>
      </c>
      <c r="K264" s="3" t="s">
        <v>140</v>
      </c>
      <c r="L264" s="7">
        <v>250000</v>
      </c>
      <c r="M264" s="3" t="s">
        <v>31</v>
      </c>
      <c r="N264" s="3" t="s">
        <v>24</v>
      </c>
      <c r="O264" s="7">
        <v>232300</v>
      </c>
      <c r="P264" s="8"/>
      <c r="Q264" s="7" t="str">
        <f t="shared" si="14"/>
        <v/>
      </c>
    </row>
    <row r="265" ht="14.25" hidden="1" customHeight="1" spans="1:17">
      <c r="A265" s="3" t="s">
        <v>25</v>
      </c>
      <c r="B265" s="4">
        <v>45761</v>
      </c>
      <c r="C265" s="4">
        <v>45816</v>
      </c>
      <c r="D265" s="5">
        <v>0.645833333333333</v>
      </c>
      <c r="E265" s="6">
        <f t="shared" si="12"/>
        <v>2025</v>
      </c>
      <c r="F265" s="6">
        <f ca="1" t="shared" si="13"/>
        <v>-415</v>
      </c>
      <c r="G265" s="3" t="s">
        <v>26</v>
      </c>
      <c r="H265" s="3" t="s">
        <v>303</v>
      </c>
      <c r="I265" s="3" t="s">
        <v>59</v>
      </c>
      <c r="J265" s="3" t="s">
        <v>41</v>
      </c>
      <c r="K265" s="3" t="s">
        <v>215</v>
      </c>
      <c r="L265" s="7">
        <v>50000</v>
      </c>
      <c r="M265" s="3" t="s">
        <v>53</v>
      </c>
      <c r="N265" s="3" t="s">
        <v>163</v>
      </c>
      <c r="O265" s="7">
        <v>47300</v>
      </c>
      <c r="P265" s="8"/>
      <c r="Q265" s="7" t="str">
        <f t="shared" si="14"/>
        <v/>
      </c>
    </row>
    <row r="266" ht="14.25" hidden="1" customHeight="1" spans="1:17">
      <c r="A266" s="3" t="s">
        <v>85</v>
      </c>
      <c r="B266" s="4">
        <v>45691</v>
      </c>
      <c r="C266" s="4">
        <v>45816</v>
      </c>
      <c r="D266" s="5">
        <v>0.645833333333333</v>
      </c>
      <c r="E266" s="6">
        <f t="shared" si="12"/>
        <v>2025</v>
      </c>
      <c r="F266" s="6">
        <f ca="1" t="shared" si="13"/>
        <v>-415</v>
      </c>
      <c r="G266" s="3" t="s">
        <v>26</v>
      </c>
      <c r="H266" s="3" t="s">
        <v>304</v>
      </c>
      <c r="I266" s="3" t="s">
        <v>87</v>
      </c>
      <c r="J266" s="3" t="s">
        <v>113</v>
      </c>
      <c r="K266" s="3" t="s">
        <v>67</v>
      </c>
      <c r="L266" s="7">
        <v>500000</v>
      </c>
      <c r="M266" s="3" t="s">
        <v>31</v>
      </c>
      <c r="N266" s="3" t="s">
        <v>24</v>
      </c>
      <c r="O266" s="7">
        <v>497600</v>
      </c>
      <c r="P266" s="8"/>
      <c r="Q266" s="7" t="str">
        <f t="shared" si="14"/>
        <v/>
      </c>
    </row>
    <row r="267" ht="14.25" customHeight="1" spans="1:17">
      <c r="A267" s="3" t="s">
        <v>25</v>
      </c>
      <c r="B267" s="4">
        <v>45643</v>
      </c>
      <c r="C267" s="4">
        <v>45812</v>
      </c>
      <c r="D267" s="5">
        <v>0.447916666666667</v>
      </c>
      <c r="E267" s="6">
        <f t="shared" si="12"/>
        <v>2025</v>
      </c>
      <c r="F267" s="6">
        <f ca="1" t="shared" si="13"/>
        <v>-419</v>
      </c>
      <c r="G267" s="3" t="s">
        <v>26</v>
      </c>
      <c r="H267" s="3" t="s">
        <v>305</v>
      </c>
      <c r="I267" s="3" t="s">
        <v>59</v>
      </c>
      <c r="J267" s="3" t="s">
        <v>41</v>
      </c>
      <c r="K267" s="3" t="s">
        <v>52</v>
      </c>
      <c r="L267" s="7">
        <v>1500000</v>
      </c>
      <c r="M267" s="3" t="s">
        <v>101</v>
      </c>
      <c r="N267" s="3" t="s">
        <v>24</v>
      </c>
      <c r="O267" s="7">
        <v>1500700</v>
      </c>
      <c r="P267" s="8">
        <v>1</v>
      </c>
      <c r="Q267" s="7">
        <f t="shared" si="14"/>
        <v>1500700</v>
      </c>
    </row>
    <row r="268" ht="14.25" hidden="1" customHeight="1" spans="1:17">
      <c r="A268" s="3" t="s">
        <v>25</v>
      </c>
      <c r="B268" s="4">
        <v>45640</v>
      </c>
      <c r="C268" s="4">
        <v>45807</v>
      </c>
      <c r="D268" s="5">
        <v>0.4375</v>
      </c>
      <c r="E268" s="6">
        <f t="shared" si="12"/>
        <v>2025</v>
      </c>
      <c r="F268" s="6">
        <f ca="1" t="shared" si="13"/>
        <v>-424</v>
      </c>
      <c r="G268" s="3" t="s">
        <v>26</v>
      </c>
      <c r="H268" s="3" t="s">
        <v>306</v>
      </c>
      <c r="I268" s="3" t="s">
        <v>95</v>
      </c>
      <c r="J268" s="3" t="s">
        <v>41</v>
      </c>
      <c r="K268" s="3" t="s">
        <v>215</v>
      </c>
      <c r="L268" s="7">
        <v>1000000</v>
      </c>
      <c r="M268" s="3" t="s">
        <v>31</v>
      </c>
      <c r="N268" s="3" t="s">
        <v>24</v>
      </c>
      <c r="O268" s="7">
        <v>860300</v>
      </c>
      <c r="P268" s="8"/>
      <c r="Q268" s="7" t="str">
        <f t="shared" si="14"/>
        <v/>
      </c>
    </row>
    <row r="269" ht="14.25" hidden="1" customHeight="1" spans="1:17">
      <c r="A269" s="3" t="s">
        <v>73</v>
      </c>
      <c r="B269" s="4">
        <v>45728</v>
      </c>
      <c r="C269" s="4">
        <v>45806</v>
      </c>
      <c r="D269" s="5">
        <v>0.5625</v>
      </c>
      <c r="E269" s="6">
        <f t="shared" si="12"/>
        <v>2025</v>
      </c>
      <c r="F269" s="6">
        <f ca="1" t="shared" si="13"/>
        <v>-425</v>
      </c>
      <c r="G269" s="3" t="s">
        <v>18</v>
      </c>
      <c r="H269" s="3" t="s">
        <v>94</v>
      </c>
      <c r="I269" s="3" t="s">
        <v>84</v>
      </c>
      <c r="J269" s="3" t="s">
        <v>51</v>
      </c>
      <c r="K269" s="3" t="s">
        <v>67</v>
      </c>
      <c r="L269" s="7">
        <v>120000</v>
      </c>
      <c r="M269" s="3" t="s">
        <v>77</v>
      </c>
      <c r="N269" s="3" t="s">
        <v>24</v>
      </c>
      <c r="O269" s="7">
        <v>117900</v>
      </c>
      <c r="P269" s="8"/>
      <c r="Q269" s="7" t="str">
        <f t="shared" si="14"/>
        <v/>
      </c>
    </row>
    <row r="270" ht="14.25" hidden="1" customHeight="1" spans="1:17">
      <c r="A270" s="3" t="s">
        <v>17</v>
      </c>
      <c r="B270" s="4">
        <v>45750</v>
      </c>
      <c r="C270" s="4">
        <v>45805</v>
      </c>
      <c r="D270" s="5">
        <v>0.541666666666667</v>
      </c>
      <c r="E270" s="6">
        <f t="shared" si="12"/>
        <v>2025</v>
      </c>
      <c r="F270" s="6">
        <f ca="1" t="shared" si="13"/>
        <v>-426</v>
      </c>
      <c r="G270" s="3" t="s">
        <v>18</v>
      </c>
      <c r="H270" s="3" t="s">
        <v>307</v>
      </c>
      <c r="I270" s="3" t="s">
        <v>118</v>
      </c>
      <c r="J270" s="3" t="s">
        <v>41</v>
      </c>
      <c r="K270" s="3" t="s">
        <v>97</v>
      </c>
      <c r="L270" s="7">
        <v>50000</v>
      </c>
      <c r="M270" s="3" t="s">
        <v>77</v>
      </c>
      <c r="N270" s="3" t="s">
        <v>24</v>
      </c>
      <c r="O270" s="7">
        <v>49400</v>
      </c>
      <c r="P270" s="8"/>
      <c r="Q270" s="7" t="str">
        <f t="shared" si="14"/>
        <v/>
      </c>
    </row>
    <row r="271" ht="14.25" customHeight="1" spans="1:17">
      <c r="A271" s="3" t="s">
        <v>48</v>
      </c>
      <c r="B271" s="4">
        <v>45643</v>
      </c>
      <c r="C271" s="4">
        <v>45800</v>
      </c>
      <c r="D271" s="5">
        <v>0.458333333333333</v>
      </c>
      <c r="E271" s="6">
        <f t="shared" si="12"/>
        <v>2025</v>
      </c>
      <c r="F271" s="6">
        <f ca="1" t="shared" si="13"/>
        <v>-431</v>
      </c>
      <c r="G271" s="3" t="s">
        <v>18</v>
      </c>
      <c r="H271" s="3" t="s">
        <v>94</v>
      </c>
      <c r="I271" s="3" t="s">
        <v>231</v>
      </c>
      <c r="J271" s="3" t="s">
        <v>21</v>
      </c>
      <c r="K271" s="3" t="s">
        <v>52</v>
      </c>
      <c r="L271" s="7">
        <v>350000</v>
      </c>
      <c r="M271" s="3" t="s">
        <v>31</v>
      </c>
      <c r="N271" s="3" t="s">
        <v>163</v>
      </c>
      <c r="O271" s="7">
        <v>340500</v>
      </c>
      <c r="P271" s="8">
        <v>1</v>
      </c>
      <c r="Q271" s="7">
        <f t="shared" si="14"/>
        <v>340500</v>
      </c>
    </row>
    <row r="272" ht="14.25" hidden="1" customHeight="1" spans="1:17">
      <c r="A272" s="3" t="s">
        <v>17</v>
      </c>
      <c r="B272" s="4">
        <v>45736</v>
      </c>
      <c r="C272" s="4">
        <v>45799</v>
      </c>
      <c r="D272" s="5">
        <v>0.5</v>
      </c>
      <c r="E272" s="6">
        <f t="shared" si="12"/>
        <v>2025</v>
      </c>
      <c r="F272" s="6">
        <f ca="1" t="shared" si="13"/>
        <v>-432</v>
      </c>
      <c r="G272" s="3" t="s">
        <v>26</v>
      </c>
      <c r="H272" s="3" t="s">
        <v>308</v>
      </c>
      <c r="I272" s="3" t="s">
        <v>20</v>
      </c>
      <c r="J272" s="3" t="s">
        <v>41</v>
      </c>
      <c r="K272" s="3" t="s">
        <v>97</v>
      </c>
      <c r="L272" s="7">
        <v>80000</v>
      </c>
      <c r="M272" s="3" t="s">
        <v>77</v>
      </c>
      <c r="N272" s="3" t="s">
        <v>24</v>
      </c>
      <c r="O272" s="7">
        <v>73400</v>
      </c>
      <c r="P272" s="8"/>
      <c r="Q272" s="7" t="str">
        <f t="shared" si="14"/>
        <v/>
      </c>
    </row>
    <row r="273" ht="14.25" customHeight="1" spans="1:17">
      <c r="A273" s="3" t="s">
        <v>17</v>
      </c>
      <c r="B273" s="4">
        <v>45646</v>
      </c>
      <c r="C273" s="4">
        <v>45797</v>
      </c>
      <c r="D273" s="5">
        <v>0.489583333333333</v>
      </c>
      <c r="E273" s="6">
        <f t="shared" si="12"/>
        <v>2025</v>
      </c>
      <c r="F273" s="6">
        <f ca="1" t="shared" si="13"/>
        <v>-434</v>
      </c>
      <c r="G273" s="3" t="s">
        <v>26</v>
      </c>
      <c r="H273" s="3" t="s">
        <v>309</v>
      </c>
      <c r="I273" s="3" t="s">
        <v>257</v>
      </c>
      <c r="J273" s="3" t="s">
        <v>51</v>
      </c>
      <c r="K273" s="3" t="s">
        <v>62</v>
      </c>
      <c r="L273" s="7">
        <v>80000</v>
      </c>
      <c r="M273" s="3" t="s">
        <v>31</v>
      </c>
      <c r="N273" s="3" t="s">
        <v>24</v>
      </c>
      <c r="O273" s="7">
        <v>70500</v>
      </c>
      <c r="P273" s="8">
        <v>1</v>
      </c>
      <c r="Q273" s="7">
        <f t="shared" si="14"/>
        <v>70500</v>
      </c>
    </row>
    <row r="274" ht="14.25" hidden="1" customHeight="1" spans="1:17">
      <c r="A274" s="3" t="s">
        <v>25</v>
      </c>
      <c r="B274" s="4">
        <v>45719</v>
      </c>
      <c r="C274" s="4">
        <v>45795</v>
      </c>
      <c r="D274" s="5">
        <v>0.479166666666667</v>
      </c>
      <c r="E274" s="6">
        <f t="shared" si="12"/>
        <v>2025</v>
      </c>
      <c r="F274" s="6">
        <f ca="1" t="shared" si="13"/>
        <v>-436</v>
      </c>
      <c r="G274" s="3" t="s">
        <v>26</v>
      </c>
      <c r="H274" s="3" t="s">
        <v>27</v>
      </c>
      <c r="I274" s="3" t="s">
        <v>28</v>
      </c>
      <c r="J274" s="3" t="s">
        <v>21</v>
      </c>
      <c r="K274" s="3" t="s">
        <v>67</v>
      </c>
      <c r="L274" s="7">
        <v>120000</v>
      </c>
      <c r="M274" s="3" t="s">
        <v>31</v>
      </c>
      <c r="N274" s="3" t="s">
        <v>24</v>
      </c>
      <c r="O274" s="7">
        <v>113900</v>
      </c>
      <c r="P274" s="8"/>
      <c r="Q274" s="7" t="str">
        <f t="shared" si="14"/>
        <v/>
      </c>
    </row>
    <row r="275" ht="14.25" hidden="1" customHeight="1" spans="1:17">
      <c r="A275" s="3" t="s">
        <v>25</v>
      </c>
      <c r="B275" s="4">
        <v>45742</v>
      </c>
      <c r="C275" s="4">
        <v>45794</v>
      </c>
      <c r="D275" s="5">
        <v>0.604166666666667</v>
      </c>
      <c r="E275" s="6">
        <f t="shared" si="12"/>
        <v>2025</v>
      </c>
      <c r="F275" s="6">
        <f ca="1" t="shared" si="13"/>
        <v>-437</v>
      </c>
      <c r="G275" s="3" t="s">
        <v>18</v>
      </c>
      <c r="H275" s="3" t="s">
        <v>110</v>
      </c>
      <c r="I275" s="3" t="s">
        <v>92</v>
      </c>
      <c r="J275" s="3" t="s">
        <v>51</v>
      </c>
      <c r="K275" s="3" t="s">
        <v>67</v>
      </c>
      <c r="L275" s="7">
        <v>750000</v>
      </c>
      <c r="M275" s="3" t="s">
        <v>31</v>
      </c>
      <c r="N275" s="3" t="s">
        <v>24</v>
      </c>
      <c r="O275" s="7">
        <v>768100</v>
      </c>
      <c r="P275" s="8"/>
      <c r="Q275" s="7" t="str">
        <f t="shared" si="14"/>
        <v/>
      </c>
    </row>
    <row r="276" ht="14.25" hidden="1" customHeight="1" spans="1:17">
      <c r="A276" s="3" t="s">
        <v>73</v>
      </c>
      <c r="B276" s="4">
        <v>45761</v>
      </c>
      <c r="C276" s="4">
        <v>45791</v>
      </c>
      <c r="D276" s="5">
        <v>0.572916666666667</v>
      </c>
      <c r="E276" s="6">
        <f t="shared" si="12"/>
        <v>2025</v>
      </c>
      <c r="F276" s="6">
        <f ca="1" t="shared" si="13"/>
        <v>-440</v>
      </c>
      <c r="G276" s="3" t="s">
        <v>26</v>
      </c>
      <c r="H276" s="3" t="s">
        <v>171</v>
      </c>
      <c r="I276" s="3" t="s">
        <v>248</v>
      </c>
      <c r="J276" s="3" t="s">
        <v>51</v>
      </c>
      <c r="K276" s="3" t="s">
        <v>93</v>
      </c>
      <c r="L276" s="7">
        <v>750000</v>
      </c>
      <c r="M276" s="3" t="s">
        <v>104</v>
      </c>
      <c r="N276" s="3" t="s">
        <v>128</v>
      </c>
      <c r="O276" s="7">
        <v>655800</v>
      </c>
      <c r="P276" s="8"/>
      <c r="Q276" s="7" t="str">
        <f t="shared" si="14"/>
        <v/>
      </c>
    </row>
    <row r="277" ht="14.25" hidden="1" customHeight="1" spans="1:17">
      <c r="A277" s="3" t="s">
        <v>25</v>
      </c>
      <c r="B277" s="4">
        <v>45709</v>
      </c>
      <c r="C277" s="4">
        <v>45789</v>
      </c>
      <c r="D277" s="5">
        <v>0.46875</v>
      </c>
      <c r="E277" s="6">
        <f t="shared" si="12"/>
        <v>2025</v>
      </c>
      <c r="F277" s="6">
        <f ca="1" t="shared" si="13"/>
        <v>-442</v>
      </c>
      <c r="G277" s="3" t="s">
        <v>26</v>
      </c>
      <c r="H277" s="3" t="s">
        <v>193</v>
      </c>
      <c r="I277" s="3" t="s">
        <v>34</v>
      </c>
      <c r="J277" s="3" t="s">
        <v>21</v>
      </c>
      <c r="K277" s="3" t="s">
        <v>67</v>
      </c>
      <c r="L277" s="7">
        <v>1000000</v>
      </c>
      <c r="M277" s="3" t="s">
        <v>23</v>
      </c>
      <c r="N277" s="3" t="s">
        <v>24</v>
      </c>
      <c r="O277" s="7">
        <v>926700</v>
      </c>
      <c r="P277" s="8"/>
      <c r="Q277" s="7" t="str">
        <f t="shared" si="14"/>
        <v/>
      </c>
    </row>
    <row r="278" ht="14.25" customHeight="1" spans="1:17">
      <c r="A278" s="3" t="s">
        <v>73</v>
      </c>
      <c r="B278" s="4">
        <v>45636</v>
      </c>
      <c r="C278" s="4">
        <v>45789</v>
      </c>
      <c r="D278" s="5">
        <v>0.5625</v>
      </c>
      <c r="E278" s="6">
        <f t="shared" si="12"/>
        <v>2025</v>
      </c>
      <c r="F278" s="6">
        <f ca="1" t="shared" si="13"/>
        <v>-442</v>
      </c>
      <c r="G278" s="3" t="s">
        <v>18</v>
      </c>
      <c r="H278" s="3" t="s">
        <v>114</v>
      </c>
      <c r="I278" s="3" t="s">
        <v>90</v>
      </c>
      <c r="J278" s="3" t="s">
        <v>109</v>
      </c>
      <c r="K278" s="3" t="s">
        <v>52</v>
      </c>
      <c r="L278" s="7">
        <v>120000</v>
      </c>
      <c r="M278" s="3" t="s">
        <v>42</v>
      </c>
      <c r="N278" s="3" t="s">
        <v>105</v>
      </c>
      <c r="O278" s="7">
        <v>112700</v>
      </c>
      <c r="P278" s="8">
        <v>1</v>
      </c>
      <c r="Q278" s="7">
        <f t="shared" si="14"/>
        <v>112700</v>
      </c>
    </row>
    <row r="279" ht="14.25" hidden="1" customHeight="1" spans="1:17">
      <c r="A279" s="3" t="s">
        <v>25</v>
      </c>
      <c r="B279" s="4">
        <v>45664</v>
      </c>
      <c r="C279" s="4">
        <v>45789</v>
      </c>
      <c r="D279" s="5">
        <v>0.479166666666667</v>
      </c>
      <c r="E279" s="6">
        <f t="shared" si="12"/>
        <v>2025</v>
      </c>
      <c r="F279" s="6">
        <f ca="1" t="shared" si="13"/>
        <v>-442</v>
      </c>
      <c r="G279" s="3" t="s">
        <v>26</v>
      </c>
      <c r="H279" s="3" t="s">
        <v>74</v>
      </c>
      <c r="I279" s="3" t="s">
        <v>310</v>
      </c>
      <c r="J279" s="3" t="s">
        <v>41</v>
      </c>
      <c r="K279" s="3" t="s">
        <v>97</v>
      </c>
      <c r="L279" s="7">
        <v>50000</v>
      </c>
      <c r="M279" s="3" t="s">
        <v>68</v>
      </c>
      <c r="N279" s="3" t="s">
        <v>24</v>
      </c>
      <c r="O279" s="7">
        <v>49500</v>
      </c>
      <c r="P279" s="8"/>
      <c r="Q279" s="7" t="str">
        <f t="shared" si="14"/>
        <v/>
      </c>
    </row>
    <row r="280" ht="14.25" hidden="1" customHeight="1" spans="1:17">
      <c r="A280" s="3" t="s">
        <v>25</v>
      </c>
      <c r="B280" s="4">
        <v>45744</v>
      </c>
      <c r="C280" s="4">
        <v>45788</v>
      </c>
      <c r="D280" s="5">
        <v>0.510416666666667</v>
      </c>
      <c r="E280" s="6">
        <f t="shared" si="12"/>
        <v>2025</v>
      </c>
      <c r="F280" s="6">
        <f ca="1" t="shared" si="13"/>
        <v>-443</v>
      </c>
      <c r="G280" s="3" t="s">
        <v>26</v>
      </c>
      <c r="H280" s="3" t="s">
        <v>80</v>
      </c>
      <c r="I280" s="3" t="s">
        <v>207</v>
      </c>
      <c r="J280" s="3" t="s">
        <v>109</v>
      </c>
      <c r="K280" s="3" t="s">
        <v>97</v>
      </c>
      <c r="L280" s="7">
        <v>750000</v>
      </c>
      <c r="M280" s="3" t="s">
        <v>31</v>
      </c>
      <c r="N280" s="3" t="s">
        <v>24</v>
      </c>
      <c r="O280" s="7">
        <v>738400</v>
      </c>
      <c r="P280" s="8"/>
      <c r="Q280" s="7" t="str">
        <f t="shared" si="14"/>
        <v/>
      </c>
    </row>
    <row r="281" ht="14.25" customHeight="1" spans="1:17">
      <c r="A281" s="3" t="s">
        <v>17</v>
      </c>
      <c r="B281" s="4">
        <v>45630</v>
      </c>
      <c r="C281" s="4">
        <v>45788</v>
      </c>
      <c r="D281" s="5">
        <v>0.583333333333333</v>
      </c>
      <c r="E281" s="6">
        <f t="shared" si="12"/>
        <v>2025</v>
      </c>
      <c r="F281" s="6">
        <f ca="1" t="shared" si="13"/>
        <v>-443</v>
      </c>
      <c r="G281" s="3" t="s">
        <v>18</v>
      </c>
      <c r="H281" s="3" t="s">
        <v>311</v>
      </c>
      <c r="I281" s="3" t="s">
        <v>20</v>
      </c>
      <c r="J281" s="3" t="s">
        <v>109</v>
      </c>
      <c r="K281" s="3" t="s">
        <v>52</v>
      </c>
      <c r="L281" s="7">
        <v>180000</v>
      </c>
      <c r="M281" s="3" t="s">
        <v>68</v>
      </c>
      <c r="N281" s="3" t="s">
        <v>128</v>
      </c>
      <c r="O281" s="7">
        <v>153400</v>
      </c>
      <c r="P281" s="8">
        <v>1</v>
      </c>
      <c r="Q281" s="7">
        <f t="shared" si="14"/>
        <v>153400</v>
      </c>
    </row>
    <row r="282" ht="14.25" customHeight="1" spans="1:17">
      <c r="A282" s="3" t="s">
        <v>17</v>
      </c>
      <c r="B282" s="4">
        <v>45634</v>
      </c>
      <c r="C282" s="4">
        <v>45786</v>
      </c>
      <c r="D282" s="5">
        <v>0.5</v>
      </c>
      <c r="E282" s="6">
        <f t="shared" si="12"/>
        <v>2025</v>
      </c>
      <c r="F282" s="6">
        <f ca="1" t="shared" si="13"/>
        <v>-445</v>
      </c>
      <c r="G282" s="3" t="s">
        <v>26</v>
      </c>
      <c r="H282" s="3" t="s">
        <v>312</v>
      </c>
      <c r="I282" s="3" t="s">
        <v>20</v>
      </c>
      <c r="J282" s="3" t="s">
        <v>109</v>
      </c>
      <c r="K282" s="3" t="s">
        <v>62</v>
      </c>
      <c r="L282" s="7">
        <v>500000</v>
      </c>
      <c r="M282" s="3" t="s">
        <v>53</v>
      </c>
      <c r="N282" s="3" t="s">
        <v>155</v>
      </c>
      <c r="O282" s="7">
        <v>488600</v>
      </c>
      <c r="P282" s="8">
        <v>1</v>
      </c>
      <c r="Q282" s="7">
        <f t="shared" si="14"/>
        <v>488600</v>
      </c>
    </row>
    <row r="283" ht="14.25" customHeight="1" spans="1:17">
      <c r="A283" s="3" t="s">
        <v>17</v>
      </c>
      <c r="B283" s="4">
        <v>45750</v>
      </c>
      <c r="C283" s="4">
        <v>45784</v>
      </c>
      <c r="D283" s="5">
        <v>0.447916666666667</v>
      </c>
      <c r="E283" s="6">
        <f t="shared" si="12"/>
        <v>2025</v>
      </c>
      <c r="F283" s="6">
        <f ca="1" t="shared" si="13"/>
        <v>-447</v>
      </c>
      <c r="G283" s="3" t="s">
        <v>18</v>
      </c>
      <c r="H283" s="3" t="s">
        <v>178</v>
      </c>
      <c r="I283" s="3" t="s">
        <v>249</v>
      </c>
      <c r="J283" s="3" t="s">
        <v>51</v>
      </c>
      <c r="K283" s="3" t="s">
        <v>52</v>
      </c>
      <c r="L283" s="7">
        <v>350000</v>
      </c>
      <c r="M283" s="3" t="s">
        <v>53</v>
      </c>
      <c r="N283" s="3" t="s">
        <v>24</v>
      </c>
      <c r="O283" s="7">
        <v>313700</v>
      </c>
      <c r="P283" s="8">
        <v>1</v>
      </c>
      <c r="Q283" s="7">
        <f t="shared" si="14"/>
        <v>313700</v>
      </c>
    </row>
    <row r="284" ht="14.25" hidden="1" customHeight="1" spans="1:17">
      <c r="A284" s="3" t="s">
        <v>130</v>
      </c>
      <c r="B284" s="4">
        <v>45690</v>
      </c>
      <c r="C284" s="4">
        <v>45783</v>
      </c>
      <c r="D284" s="5">
        <v>0.572916666666667</v>
      </c>
      <c r="E284" s="6">
        <f t="shared" si="12"/>
        <v>2025</v>
      </c>
      <c r="F284" s="6">
        <f ca="1" t="shared" si="13"/>
        <v>-448</v>
      </c>
      <c r="G284" s="3" t="s">
        <v>26</v>
      </c>
      <c r="H284" s="3" t="s">
        <v>119</v>
      </c>
      <c r="I284" s="3" t="s">
        <v>313</v>
      </c>
      <c r="J284" s="3" t="s">
        <v>35</v>
      </c>
      <c r="K284" s="3" t="s">
        <v>67</v>
      </c>
      <c r="L284" s="7">
        <v>1000000</v>
      </c>
      <c r="M284" s="3" t="s">
        <v>37</v>
      </c>
      <c r="N284" s="3" t="s">
        <v>24</v>
      </c>
      <c r="O284" s="7">
        <v>941100</v>
      </c>
      <c r="P284" s="8"/>
      <c r="Q284" s="7" t="str">
        <f t="shared" si="14"/>
        <v/>
      </c>
    </row>
    <row r="285" ht="14.25" hidden="1" customHeight="1" spans="1:17">
      <c r="A285" s="3" t="s">
        <v>17</v>
      </c>
      <c r="B285" s="4">
        <v>45712</v>
      </c>
      <c r="C285" s="4">
        <v>45781</v>
      </c>
      <c r="D285" s="5">
        <v>0.614583333333333</v>
      </c>
      <c r="E285" s="6">
        <f t="shared" si="12"/>
        <v>2025</v>
      </c>
      <c r="F285" s="6">
        <f ca="1" t="shared" si="13"/>
        <v>-450</v>
      </c>
      <c r="G285" s="3" t="s">
        <v>18</v>
      </c>
      <c r="H285" s="3" t="s">
        <v>114</v>
      </c>
      <c r="I285" s="3" t="s">
        <v>122</v>
      </c>
      <c r="J285" s="3" t="s">
        <v>51</v>
      </c>
      <c r="K285" s="3" t="s">
        <v>140</v>
      </c>
      <c r="L285" s="7">
        <v>500000</v>
      </c>
      <c r="M285" s="3" t="s">
        <v>42</v>
      </c>
      <c r="N285" s="3" t="s">
        <v>24</v>
      </c>
      <c r="O285" s="7">
        <v>490900</v>
      </c>
      <c r="P285" s="8"/>
      <c r="Q285" s="7" t="str">
        <f t="shared" si="14"/>
        <v/>
      </c>
    </row>
    <row r="286" ht="14.25" hidden="1" customHeight="1" spans="1:17">
      <c r="A286" s="3" t="s">
        <v>192</v>
      </c>
      <c r="B286" s="4">
        <v>45647</v>
      </c>
      <c r="C286" s="4">
        <v>45780</v>
      </c>
      <c r="D286" s="5">
        <v>0.447916666666667</v>
      </c>
      <c r="E286" s="6">
        <f t="shared" si="12"/>
        <v>2025</v>
      </c>
      <c r="F286" s="6">
        <f ca="1" t="shared" si="13"/>
        <v>-451</v>
      </c>
      <c r="G286" s="3" t="s">
        <v>26</v>
      </c>
      <c r="H286" s="3" t="s">
        <v>83</v>
      </c>
      <c r="I286" s="3" t="s">
        <v>244</v>
      </c>
      <c r="J286" s="3" t="s">
        <v>41</v>
      </c>
      <c r="K286" s="3" t="s">
        <v>67</v>
      </c>
      <c r="L286" s="7">
        <v>120000</v>
      </c>
      <c r="M286" s="3" t="s">
        <v>31</v>
      </c>
      <c r="N286" s="3" t="s">
        <v>124</v>
      </c>
      <c r="O286" s="7">
        <v>104700</v>
      </c>
      <c r="P286" s="8"/>
      <c r="Q286" s="7" t="str">
        <f t="shared" si="14"/>
        <v/>
      </c>
    </row>
    <row r="287" ht="14.25" hidden="1" customHeight="1" spans="1:17">
      <c r="A287" s="3" t="s">
        <v>25</v>
      </c>
      <c r="B287" s="4">
        <v>45629</v>
      </c>
      <c r="C287" s="4">
        <v>45777</v>
      </c>
      <c r="D287" s="5">
        <v>0.4375</v>
      </c>
      <c r="E287" s="6">
        <f t="shared" si="12"/>
        <v>2025</v>
      </c>
      <c r="F287" s="6">
        <f ca="1" t="shared" si="13"/>
        <v>-454</v>
      </c>
      <c r="G287" s="3" t="s">
        <v>18</v>
      </c>
      <c r="H287" s="3" t="s">
        <v>284</v>
      </c>
      <c r="I287" s="3" t="s">
        <v>108</v>
      </c>
      <c r="J287" s="3" t="s">
        <v>21</v>
      </c>
      <c r="K287" s="3" t="s">
        <v>97</v>
      </c>
      <c r="L287" s="7">
        <v>500000</v>
      </c>
      <c r="M287" s="3" t="s">
        <v>31</v>
      </c>
      <c r="N287" s="3" t="s">
        <v>24</v>
      </c>
      <c r="O287" s="7">
        <v>516600</v>
      </c>
      <c r="P287" s="8"/>
      <c r="Q287" s="7" t="str">
        <f t="shared" si="14"/>
        <v/>
      </c>
    </row>
    <row r="288" ht="14.25" hidden="1" customHeight="1" spans="1:17">
      <c r="A288" s="3" t="s">
        <v>25</v>
      </c>
      <c r="B288" s="4">
        <v>45632</v>
      </c>
      <c r="C288" s="4">
        <v>45775</v>
      </c>
      <c r="D288" s="5">
        <v>0.645833333333333</v>
      </c>
      <c r="E288" s="6">
        <f t="shared" si="12"/>
        <v>2025</v>
      </c>
      <c r="F288" s="6">
        <f ca="1" t="shared" si="13"/>
        <v>-456</v>
      </c>
      <c r="G288" s="3" t="s">
        <v>38</v>
      </c>
      <c r="H288" s="3" t="s">
        <v>314</v>
      </c>
      <c r="I288" s="3" t="s">
        <v>172</v>
      </c>
      <c r="J288" s="3" t="s">
        <v>109</v>
      </c>
      <c r="K288" s="3" t="s">
        <v>97</v>
      </c>
      <c r="L288" s="7">
        <v>80000</v>
      </c>
      <c r="M288" s="3" t="s">
        <v>31</v>
      </c>
      <c r="N288" s="3" t="s">
        <v>24</v>
      </c>
      <c r="O288" s="7">
        <v>76500</v>
      </c>
      <c r="P288" s="8"/>
      <c r="Q288" s="7" t="str">
        <f t="shared" si="14"/>
        <v/>
      </c>
    </row>
    <row r="289" ht="14.25" hidden="1" customHeight="1" spans="1:17">
      <c r="A289" s="3" t="s">
        <v>17</v>
      </c>
      <c r="B289" s="4">
        <v>45733</v>
      </c>
      <c r="C289" s="4">
        <v>45772</v>
      </c>
      <c r="D289" s="5">
        <v>0.604166666666667</v>
      </c>
      <c r="E289" s="6">
        <f t="shared" si="12"/>
        <v>2025</v>
      </c>
      <c r="F289" s="6">
        <f ca="1" t="shared" si="13"/>
        <v>-459</v>
      </c>
      <c r="G289" s="3" t="s">
        <v>18</v>
      </c>
      <c r="H289" s="3" t="s">
        <v>178</v>
      </c>
      <c r="I289" s="3" t="s">
        <v>249</v>
      </c>
      <c r="J289" s="3" t="s">
        <v>21</v>
      </c>
      <c r="K289" s="3" t="s">
        <v>215</v>
      </c>
      <c r="L289" s="7">
        <v>350000</v>
      </c>
      <c r="M289" s="3" t="s">
        <v>53</v>
      </c>
      <c r="N289" s="3" t="s">
        <v>24</v>
      </c>
      <c r="O289" s="7">
        <v>357400</v>
      </c>
      <c r="P289" s="8"/>
      <c r="Q289" s="7" t="str">
        <f t="shared" si="14"/>
        <v/>
      </c>
    </row>
    <row r="290" ht="14.25" hidden="1" customHeight="1" spans="1:17">
      <c r="A290" s="3" t="s">
        <v>17</v>
      </c>
      <c r="B290" s="4">
        <v>45737</v>
      </c>
      <c r="C290" s="4">
        <v>45770</v>
      </c>
      <c r="D290" s="5">
        <v>0.416666666666667</v>
      </c>
      <c r="E290" s="6">
        <f t="shared" si="12"/>
        <v>2025</v>
      </c>
      <c r="F290" s="6">
        <f ca="1" t="shared" si="13"/>
        <v>-461</v>
      </c>
      <c r="G290" s="3" t="s">
        <v>26</v>
      </c>
      <c r="H290" s="3" t="s">
        <v>263</v>
      </c>
      <c r="I290" s="3" t="s">
        <v>264</v>
      </c>
      <c r="J290" s="3" t="s">
        <v>21</v>
      </c>
      <c r="K290" s="3" t="s">
        <v>67</v>
      </c>
      <c r="L290" s="7">
        <v>250000</v>
      </c>
      <c r="M290" s="3" t="s">
        <v>68</v>
      </c>
      <c r="N290" s="3" t="s">
        <v>24</v>
      </c>
      <c r="O290" s="7">
        <v>261400</v>
      </c>
      <c r="P290" s="8"/>
      <c r="Q290" s="7" t="str">
        <f t="shared" si="14"/>
        <v/>
      </c>
    </row>
    <row r="291" ht="14.25" customHeight="1" spans="1:17">
      <c r="A291" s="3" t="s">
        <v>25</v>
      </c>
      <c r="B291" s="4">
        <v>45639</v>
      </c>
      <c r="C291" s="4">
        <v>45768</v>
      </c>
      <c r="D291" s="5">
        <v>0.447916666666667</v>
      </c>
      <c r="E291" s="6">
        <f t="shared" si="12"/>
        <v>2025</v>
      </c>
      <c r="F291" s="6">
        <f ca="1" t="shared" si="13"/>
        <v>-463</v>
      </c>
      <c r="G291" s="3" t="s">
        <v>26</v>
      </c>
      <c r="H291" s="3" t="s">
        <v>193</v>
      </c>
      <c r="I291" s="3" t="s">
        <v>168</v>
      </c>
      <c r="J291" s="3" t="s">
        <v>21</v>
      </c>
      <c r="K291" s="3" t="s">
        <v>52</v>
      </c>
      <c r="L291" s="7">
        <v>50000</v>
      </c>
      <c r="M291" s="3" t="s">
        <v>23</v>
      </c>
      <c r="N291" s="3" t="s">
        <v>128</v>
      </c>
      <c r="O291" s="7">
        <v>47000</v>
      </c>
      <c r="P291" s="8">
        <v>1</v>
      </c>
      <c r="Q291" s="7">
        <f t="shared" si="14"/>
        <v>47000</v>
      </c>
    </row>
    <row r="292" ht="14.25" customHeight="1" spans="1:17">
      <c r="A292" s="3" t="s">
        <v>48</v>
      </c>
      <c r="B292" s="4">
        <v>45589</v>
      </c>
      <c r="C292" s="4">
        <v>45767</v>
      </c>
      <c r="D292" s="5">
        <v>0.5</v>
      </c>
      <c r="E292" s="6">
        <f t="shared" si="12"/>
        <v>2025</v>
      </c>
      <c r="F292" s="6">
        <f ca="1" t="shared" si="13"/>
        <v>-464</v>
      </c>
      <c r="G292" s="3" t="s">
        <v>18</v>
      </c>
      <c r="H292" s="3" t="s">
        <v>89</v>
      </c>
      <c r="I292" s="3" t="s">
        <v>147</v>
      </c>
      <c r="J292" s="3" t="s">
        <v>113</v>
      </c>
      <c r="K292" s="3" t="s">
        <v>52</v>
      </c>
      <c r="L292" s="7">
        <v>180000</v>
      </c>
      <c r="M292" s="3" t="s">
        <v>68</v>
      </c>
      <c r="N292" s="3" t="s">
        <v>24</v>
      </c>
      <c r="O292" s="7">
        <v>163300</v>
      </c>
      <c r="P292" s="8">
        <v>1</v>
      </c>
      <c r="Q292" s="7">
        <f t="shared" si="14"/>
        <v>163300</v>
      </c>
    </row>
    <row r="293" ht="14.25" customHeight="1" spans="1:17">
      <c r="A293" s="3" t="s">
        <v>17</v>
      </c>
      <c r="B293" s="4">
        <v>45691</v>
      </c>
      <c r="C293" s="4">
        <v>45766</v>
      </c>
      <c r="D293" s="5">
        <v>0.479166666666667</v>
      </c>
      <c r="E293" s="6">
        <f t="shared" si="12"/>
        <v>2025</v>
      </c>
      <c r="F293" s="6">
        <f ca="1" t="shared" si="13"/>
        <v>-465</v>
      </c>
      <c r="G293" s="3" t="s">
        <v>26</v>
      </c>
      <c r="H293" s="3" t="s">
        <v>63</v>
      </c>
      <c r="I293" s="3" t="s">
        <v>20</v>
      </c>
      <c r="J293" s="3" t="s">
        <v>51</v>
      </c>
      <c r="K293" s="3" t="s">
        <v>52</v>
      </c>
      <c r="L293" s="7">
        <v>250000</v>
      </c>
      <c r="M293" s="3" t="s">
        <v>23</v>
      </c>
      <c r="N293" s="3" t="s">
        <v>24</v>
      </c>
      <c r="O293" s="7">
        <v>230200</v>
      </c>
      <c r="P293" s="8">
        <v>1</v>
      </c>
      <c r="Q293" s="7">
        <f t="shared" si="14"/>
        <v>230200</v>
      </c>
    </row>
    <row r="294" ht="14.25" customHeight="1" spans="1:17">
      <c r="A294" s="3" t="s">
        <v>17</v>
      </c>
      <c r="B294" s="4">
        <v>45679</v>
      </c>
      <c r="C294" s="4">
        <v>45764</v>
      </c>
      <c r="D294" s="5">
        <v>0.5625</v>
      </c>
      <c r="E294" s="6">
        <f t="shared" si="12"/>
        <v>2025</v>
      </c>
      <c r="F294" s="6">
        <f ca="1" t="shared" si="13"/>
        <v>-467</v>
      </c>
      <c r="G294" s="3" t="s">
        <v>18</v>
      </c>
      <c r="H294" s="3" t="s">
        <v>315</v>
      </c>
      <c r="I294" s="3" t="s">
        <v>316</v>
      </c>
      <c r="J294" s="3" t="s">
        <v>41</v>
      </c>
      <c r="K294" s="3" t="s">
        <v>52</v>
      </c>
      <c r="L294" s="7">
        <v>50000</v>
      </c>
      <c r="M294" s="3" t="s">
        <v>68</v>
      </c>
      <c r="N294" s="3" t="s">
        <v>24</v>
      </c>
      <c r="O294" s="7">
        <v>43800</v>
      </c>
      <c r="P294" s="8">
        <v>1</v>
      </c>
      <c r="Q294" s="7">
        <f t="shared" si="14"/>
        <v>43800</v>
      </c>
    </row>
    <row r="295" ht="14.25" customHeight="1" spans="1:17">
      <c r="A295" s="3" t="s">
        <v>25</v>
      </c>
      <c r="B295" s="4">
        <v>45698</v>
      </c>
      <c r="C295" s="4">
        <v>45761</v>
      </c>
      <c r="D295" s="5">
        <v>0.59375</v>
      </c>
      <c r="E295" s="6">
        <f t="shared" si="12"/>
        <v>2025</v>
      </c>
      <c r="F295" s="6">
        <f ca="1" t="shared" si="13"/>
        <v>-470</v>
      </c>
      <c r="G295" s="3" t="s">
        <v>26</v>
      </c>
      <c r="H295" s="3" t="s">
        <v>317</v>
      </c>
      <c r="I295" s="3" t="s">
        <v>165</v>
      </c>
      <c r="J295" s="3" t="s">
        <v>41</v>
      </c>
      <c r="K295" s="3" t="s">
        <v>62</v>
      </c>
      <c r="L295" s="7">
        <v>180000</v>
      </c>
      <c r="M295" s="3" t="s">
        <v>60</v>
      </c>
      <c r="N295" s="3" t="s">
        <v>24</v>
      </c>
      <c r="O295" s="7">
        <v>181800</v>
      </c>
      <c r="P295" s="8">
        <v>1</v>
      </c>
      <c r="Q295" s="7">
        <f t="shared" si="14"/>
        <v>181800</v>
      </c>
    </row>
    <row r="296" ht="14.25" hidden="1" customHeight="1" spans="1:17">
      <c r="A296" s="3" t="s">
        <v>25</v>
      </c>
      <c r="B296" s="4">
        <v>45700</v>
      </c>
      <c r="C296" s="4">
        <v>45760</v>
      </c>
      <c r="D296" s="5">
        <v>0.583333333333333</v>
      </c>
      <c r="E296" s="6">
        <f t="shared" si="12"/>
        <v>2025</v>
      </c>
      <c r="F296" s="6">
        <f ca="1" t="shared" si="13"/>
        <v>-471</v>
      </c>
      <c r="G296" s="3" t="s">
        <v>18</v>
      </c>
      <c r="H296" s="3" t="s">
        <v>318</v>
      </c>
      <c r="I296" s="3" t="s">
        <v>310</v>
      </c>
      <c r="J296" s="3" t="s">
        <v>29</v>
      </c>
      <c r="K296" s="3" t="s">
        <v>215</v>
      </c>
      <c r="L296" s="7">
        <v>1000000</v>
      </c>
      <c r="M296" s="3" t="s">
        <v>101</v>
      </c>
      <c r="N296" s="3" t="s">
        <v>128</v>
      </c>
      <c r="O296" s="7">
        <v>864800</v>
      </c>
      <c r="P296" s="8"/>
      <c r="Q296" s="7" t="str">
        <f t="shared" si="14"/>
        <v/>
      </c>
    </row>
    <row r="297" ht="14.25" hidden="1" customHeight="1" spans="1:17">
      <c r="A297" s="3" t="s">
        <v>25</v>
      </c>
      <c r="B297" s="4">
        <v>45591</v>
      </c>
      <c r="C297" s="4">
        <v>45753</v>
      </c>
      <c r="D297" s="5">
        <v>0.489583333333333</v>
      </c>
      <c r="E297" s="6">
        <f t="shared" si="12"/>
        <v>2025</v>
      </c>
      <c r="F297" s="6">
        <f ca="1" t="shared" si="13"/>
        <v>-478</v>
      </c>
      <c r="G297" s="3" t="s">
        <v>18</v>
      </c>
      <c r="H297" s="3" t="s">
        <v>319</v>
      </c>
      <c r="I297" s="3" t="s">
        <v>165</v>
      </c>
      <c r="J297" s="3" t="s">
        <v>113</v>
      </c>
      <c r="K297" s="3" t="s">
        <v>67</v>
      </c>
      <c r="L297" s="7">
        <v>350000</v>
      </c>
      <c r="M297" s="3" t="s">
        <v>53</v>
      </c>
      <c r="N297" s="3" t="s">
        <v>24</v>
      </c>
      <c r="O297" s="7">
        <v>359600</v>
      </c>
      <c r="P297" s="8"/>
      <c r="Q297" s="7" t="str">
        <f t="shared" si="14"/>
        <v/>
      </c>
    </row>
    <row r="298" ht="14.25" hidden="1" customHeight="1" spans="1:17">
      <c r="A298" s="3" t="s">
        <v>133</v>
      </c>
      <c r="B298" s="4">
        <v>45573</v>
      </c>
      <c r="C298" s="4">
        <v>45752</v>
      </c>
      <c r="D298" s="5">
        <v>0.5625</v>
      </c>
      <c r="E298" s="6">
        <f t="shared" si="12"/>
        <v>2025</v>
      </c>
      <c r="F298" s="6">
        <f ca="1" t="shared" si="13"/>
        <v>-479</v>
      </c>
      <c r="G298" s="3" t="s">
        <v>26</v>
      </c>
      <c r="H298" s="3" t="s">
        <v>74</v>
      </c>
      <c r="I298" s="3" t="s">
        <v>228</v>
      </c>
      <c r="J298" s="3" t="s">
        <v>51</v>
      </c>
      <c r="K298" s="3" t="s">
        <v>140</v>
      </c>
      <c r="L298" s="7">
        <v>1000000</v>
      </c>
      <c r="M298" s="3" t="s">
        <v>31</v>
      </c>
      <c r="N298" s="3" t="s">
        <v>24</v>
      </c>
      <c r="O298" s="7">
        <v>891200</v>
      </c>
      <c r="P298" s="8"/>
      <c r="Q298" s="7" t="str">
        <f t="shared" si="14"/>
        <v/>
      </c>
    </row>
    <row r="299" ht="14.25" hidden="1" customHeight="1" spans="1:17">
      <c r="A299" s="3" t="s">
        <v>25</v>
      </c>
      <c r="B299" s="4">
        <v>45681</v>
      </c>
      <c r="C299" s="4">
        <v>45750</v>
      </c>
      <c r="D299" s="5">
        <v>0.4375</v>
      </c>
      <c r="E299" s="6">
        <f t="shared" si="12"/>
        <v>2025</v>
      </c>
      <c r="F299" s="6">
        <f ca="1" t="shared" si="13"/>
        <v>-481</v>
      </c>
      <c r="G299" s="3" t="s">
        <v>18</v>
      </c>
      <c r="H299" s="3" t="s">
        <v>320</v>
      </c>
      <c r="I299" s="3" t="s">
        <v>191</v>
      </c>
      <c r="J299" s="3" t="s">
        <v>41</v>
      </c>
      <c r="K299" s="3" t="s">
        <v>215</v>
      </c>
      <c r="L299" s="7">
        <v>50000</v>
      </c>
      <c r="M299" s="3" t="s">
        <v>31</v>
      </c>
      <c r="N299" s="3" t="s">
        <v>24</v>
      </c>
      <c r="O299" s="7">
        <v>52500</v>
      </c>
      <c r="P299" s="8"/>
      <c r="Q299" s="7" t="str">
        <f t="shared" si="14"/>
        <v/>
      </c>
    </row>
    <row r="300" ht="14.25" hidden="1" customHeight="1" spans="1:17">
      <c r="A300" s="3" t="s">
        <v>278</v>
      </c>
      <c r="B300" s="4">
        <v>45608</v>
      </c>
      <c r="C300" s="4">
        <v>45742</v>
      </c>
      <c r="D300" s="5">
        <v>0.479166666666667</v>
      </c>
      <c r="E300" s="6">
        <f t="shared" si="12"/>
        <v>2025</v>
      </c>
      <c r="F300" s="6">
        <f ca="1" t="shared" si="13"/>
        <v>-489</v>
      </c>
      <c r="G300" s="3" t="s">
        <v>18</v>
      </c>
      <c r="H300" s="3" t="s">
        <v>321</v>
      </c>
      <c r="I300" s="3" t="s">
        <v>279</v>
      </c>
      <c r="J300" s="3" t="s">
        <v>51</v>
      </c>
      <c r="K300" s="3" t="s">
        <v>67</v>
      </c>
      <c r="L300" s="7">
        <v>250000</v>
      </c>
      <c r="M300" s="3" t="s">
        <v>31</v>
      </c>
      <c r="N300" s="3" t="s">
        <v>105</v>
      </c>
      <c r="O300" s="7">
        <v>230500</v>
      </c>
      <c r="P300" s="8"/>
      <c r="Q300" s="7" t="str">
        <f t="shared" si="14"/>
        <v/>
      </c>
    </row>
    <row r="301" ht="14.25" customHeight="1" spans="1:17">
      <c r="A301" s="3" t="s">
        <v>17</v>
      </c>
      <c r="B301" s="4">
        <v>45688</v>
      </c>
      <c r="C301" s="4">
        <v>45742</v>
      </c>
      <c r="D301" s="5">
        <v>0.552083333333333</v>
      </c>
      <c r="E301" s="6">
        <f t="shared" si="12"/>
        <v>2025</v>
      </c>
      <c r="F301" s="6">
        <f ca="1" t="shared" si="13"/>
        <v>-489</v>
      </c>
      <c r="G301" s="3" t="s">
        <v>18</v>
      </c>
      <c r="H301" s="3" t="s">
        <v>86</v>
      </c>
      <c r="I301" s="3" t="s">
        <v>151</v>
      </c>
      <c r="J301" s="3" t="s">
        <v>21</v>
      </c>
      <c r="K301" s="3" t="s">
        <v>52</v>
      </c>
      <c r="L301" s="7">
        <v>120000</v>
      </c>
      <c r="M301" s="3" t="s">
        <v>31</v>
      </c>
      <c r="N301" s="3" t="s">
        <v>24</v>
      </c>
      <c r="O301" s="7">
        <v>111500</v>
      </c>
      <c r="P301" s="8">
        <v>1</v>
      </c>
      <c r="Q301" s="7">
        <f t="shared" si="14"/>
        <v>111500</v>
      </c>
    </row>
    <row r="302" ht="14.25" hidden="1" customHeight="1" spans="1:17">
      <c r="A302" s="3" t="s">
        <v>73</v>
      </c>
      <c r="B302" s="4">
        <v>45650</v>
      </c>
      <c r="C302" s="4">
        <v>45741</v>
      </c>
      <c r="D302" s="5">
        <v>0.416666666666667</v>
      </c>
      <c r="E302" s="6">
        <f t="shared" si="12"/>
        <v>2025</v>
      </c>
      <c r="F302" s="6">
        <f ca="1" t="shared" si="13"/>
        <v>-490</v>
      </c>
      <c r="G302" s="3" t="s">
        <v>18</v>
      </c>
      <c r="H302" s="3" t="s">
        <v>94</v>
      </c>
      <c r="I302" s="3" t="s">
        <v>84</v>
      </c>
      <c r="J302" s="3" t="s">
        <v>21</v>
      </c>
      <c r="K302" s="3" t="s">
        <v>67</v>
      </c>
      <c r="L302" s="7">
        <v>120000</v>
      </c>
      <c r="M302" s="3" t="s">
        <v>77</v>
      </c>
      <c r="N302" s="3" t="s">
        <v>24</v>
      </c>
      <c r="O302" s="7">
        <v>120900</v>
      </c>
      <c r="P302" s="8"/>
      <c r="Q302" s="7" t="str">
        <f t="shared" si="14"/>
        <v/>
      </c>
    </row>
    <row r="303" ht="14.25" customHeight="1" spans="1:17">
      <c r="A303" s="3" t="s">
        <v>48</v>
      </c>
      <c r="B303" s="4">
        <v>45632</v>
      </c>
      <c r="C303" s="4">
        <v>45741</v>
      </c>
      <c r="D303" s="5">
        <v>0.552083333333333</v>
      </c>
      <c r="E303" s="6">
        <f t="shared" si="12"/>
        <v>2025</v>
      </c>
      <c r="F303" s="6">
        <f ca="1" t="shared" si="13"/>
        <v>-490</v>
      </c>
      <c r="G303" s="3" t="s">
        <v>18</v>
      </c>
      <c r="H303" s="3" t="s">
        <v>131</v>
      </c>
      <c r="I303" s="3" t="s">
        <v>139</v>
      </c>
      <c r="J303" s="3" t="s">
        <v>21</v>
      </c>
      <c r="K303" s="3" t="s">
        <v>52</v>
      </c>
      <c r="L303" s="7">
        <v>350000</v>
      </c>
      <c r="M303" s="3" t="s">
        <v>31</v>
      </c>
      <c r="N303" s="3" t="s">
        <v>24</v>
      </c>
      <c r="O303" s="7">
        <v>315000</v>
      </c>
      <c r="P303" s="8">
        <v>1</v>
      </c>
      <c r="Q303" s="7">
        <f t="shared" si="14"/>
        <v>315000</v>
      </c>
    </row>
    <row r="304" ht="14.25" customHeight="1" spans="1:17">
      <c r="A304" s="3" t="s">
        <v>85</v>
      </c>
      <c r="B304" s="4">
        <v>45594</v>
      </c>
      <c r="C304" s="4">
        <v>45738</v>
      </c>
      <c r="D304" s="5">
        <v>0.510416666666667</v>
      </c>
      <c r="E304" s="6">
        <f t="shared" si="12"/>
        <v>2025</v>
      </c>
      <c r="F304" s="6">
        <f ca="1" t="shared" si="13"/>
        <v>-493</v>
      </c>
      <c r="G304" s="3" t="s">
        <v>18</v>
      </c>
      <c r="H304" s="3" t="s">
        <v>86</v>
      </c>
      <c r="I304" s="3" t="s">
        <v>87</v>
      </c>
      <c r="J304" s="3" t="s">
        <v>21</v>
      </c>
      <c r="K304" s="3" t="s">
        <v>52</v>
      </c>
      <c r="L304" s="7">
        <v>180000</v>
      </c>
      <c r="M304" s="3" t="s">
        <v>31</v>
      </c>
      <c r="N304" s="3" t="s">
        <v>24</v>
      </c>
      <c r="O304" s="7">
        <v>171300</v>
      </c>
      <c r="P304" s="8">
        <v>1</v>
      </c>
      <c r="Q304" s="7">
        <f t="shared" si="14"/>
        <v>171300</v>
      </c>
    </row>
    <row r="305" ht="14.25" customHeight="1" spans="1:17">
      <c r="A305" s="3" t="s">
        <v>48</v>
      </c>
      <c r="B305" s="4">
        <v>45622</v>
      </c>
      <c r="C305" s="4">
        <v>45738</v>
      </c>
      <c r="D305" s="5">
        <v>0.572916666666667</v>
      </c>
      <c r="E305" s="6">
        <f t="shared" si="12"/>
        <v>2025</v>
      </c>
      <c r="F305" s="6">
        <f ca="1" t="shared" si="13"/>
        <v>-493</v>
      </c>
      <c r="G305" s="3" t="s">
        <v>18</v>
      </c>
      <c r="H305" s="3" t="s">
        <v>114</v>
      </c>
      <c r="I305" s="3" t="s">
        <v>189</v>
      </c>
      <c r="J305" s="3" t="s">
        <v>51</v>
      </c>
      <c r="K305" s="3" t="s">
        <v>52</v>
      </c>
      <c r="L305" s="7">
        <v>50000</v>
      </c>
      <c r="M305" s="3" t="s">
        <v>31</v>
      </c>
      <c r="N305" s="3" t="s">
        <v>24</v>
      </c>
      <c r="O305" s="7">
        <v>45600</v>
      </c>
      <c r="P305" s="8">
        <v>1</v>
      </c>
      <c r="Q305" s="7">
        <f t="shared" si="14"/>
        <v>45600</v>
      </c>
    </row>
    <row r="306" ht="14.25" customHeight="1" spans="1:17">
      <c r="A306" s="3" t="s">
        <v>85</v>
      </c>
      <c r="B306" s="4">
        <v>45589</v>
      </c>
      <c r="C306" s="4">
        <v>45736</v>
      </c>
      <c r="D306" s="5">
        <v>0.520833333333333</v>
      </c>
      <c r="E306" s="6">
        <f t="shared" si="12"/>
        <v>2025</v>
      </c>
      <c r="F306" s="6">
        <f ca="1" t="shared" si="13"/>
        <v>-495</v>
      </c>
      <c r="G306" s="3" t="s">
        <v>26</v>
      </c>
      <c r="H306" s="3" t="s">
        <v>111</v>
      </c>
      <c r="I306" s="3" t="s">
        <v>322</v>
      </c>
      <c r="J306" s="3" t="s">
        <v>109</v>
      </c>
      <c r="K306" s="3" t="s">
        <v>62</v>
      </c>
      <c r="L306" s="7">
        <v>750000</v>
      </c>
      <c r="M306" s="3" t="s">
        <v>31</v>
      </c>
      <c r="N306" s="3" t="s">
        <v>47</v>
      </c>
      <c r="O306" s="7">
        <v>657100</v>
      </c>
      <c r="P306" s="8">
        <v>1</v>
      </c>
      <c r="Q306" s="7">
        <f t="shared" si="14"/>
        <v>657100</v>
      </c>
    </row>
    <row r="307" ht="14.25" hidden="1" customHeight="1" spans="1:17">
      <c r="A307" s="3" t="s">
        <v>43</v>
      </c>
      <c r="B307" s="4">
        <v>45587</v>
      </c>
      <c r="C307" s="4">
        <v>45734</v>
      </c>
      <c r="D307" s="5">
        <v>0.5625</v>
      </c>
      <c r="E307" s="6">
        <f t="shared" si="12"/>
        <v>2025</v>
      </c>
      <c r="F307" s="6">
        <f ca="1" t="shared" si="13"/>
        <v>-497</v>
      </c>
      <c r="G307" s="3" t="s">
        <v>38</v>
      </c>
      <c r="H307" s="3" t="s">
        <v>99</v>
      </c>
      <c r="I307" s="3" t="s">
        <v>276</v>
      </c>
      <c r="J307" s="3" t="s">
        <v>41</v>
      </c>
      <c r="K307" s="3" t="s">
        <v>67</v>
      </c>
      <c r="L307" s="7">
        <v>750000</v>
      </c>
      <c r="M307" s="3" t="s">
        <v>68</v>
      </c>
      <c r="N307" s="3" t="s">
        <v>78</v>
      </c>
      <c r="O307" s="7">
        <v>717800</v>
      </c>
      <c r="P307" s="8"/>
      <c r="Q307" s="7" t="str">
        <f t="shared" si="14"/>
        <v/>
      </c>
    </row>
    <row r="308" ht="14.25" hidden="1" customHeight="1" spans="1:17">
      <c r="A308" s="3" t="s">
        <v>48</v>
      </c>
      <c r="B308" s="4">
        <v>45665</v>
      </c>
      <c r="C308" s="4">
        <v>45733</v>
      </c>
      <c r="D308" s="5">
        <v>0.666666666666667</v>
      </c>
      <c r="E308" s="6">
        <f t="shared" si="12"/>
        <v>2025</v>
      </c>
      <c r="F308" s="6">
        <f ca="1" t="shared" si="13"/>
        <v>-498</v>
      </c>
      <c r="G308" s="3" t="s">
        <v>26</v>
      </c>
      <c r="H308" s="3" t="s">
        <v>288</v>
      </c>
      <c r="I308" s="3" t="s">
        <v>139</v>
      </c>
      <c r="J308" s="3" t="s">
        <v>21</v>
      </c>
      <c r="K308" s="3" t="s">
        <v>215</v>
      </c>
      <c r="L308" s="7">
        <v>1000000</v>
      </c>
      <c r="M308" s="3" t="s">
        <v>31</v>
      </c>
      <c r="N308" s="3" t="s">
        <v>24</v>
      </c>
      <c r="O308" s="7">
        <v>928000</v>
      </c>
      <c r="P308" s="8"/>
      <c r="Q308" s="7" t="str">
        <f t="shared" si="14"/>
        <v/>
      </c>
    </row>
    <row r="309" ht="14.25" customHeight="1" spans="1:17">
      <c r="A309" s="3" t="s">
        <v>17</v>
      </c>
      <c r="B309" s="4">
        <v>45562</v>
      </c>
      <c r="C309" s="4">
        <v>45728</v>
      </c>
      <c r="D309" s="5">
        <v>0.614583333333333</v>
      </c>
      <c r="E309" s="6">
        <f t="shared" si="12"/>
        <v>2025</v>
      </c>
      <c r="F309" s="6">
        <f ca="1" t="shared" si="13"/>
        <v>-503</v>
      </c>
      <c r="G309" s="3" t="s">
        <v>26</v>
      </c>
      <c r="H309" s="3" t="s">
        <v>27</v>
      </c>
      <c r="I309" s="3" t="s">
        <v>264</v>
      </c>
      <c r="J309" s="3" t="s">
        <v>51</v>
      </c>
      <c r="K309" s="3" t="s">
        <v>52</v>
      </c>
      <c r="L309" s="7">
        <v>180000</v>
      </c>
      <c r="M309" s="3" t="s">
        <v>31</v>
      </c>
      <c r="N309" s="3" t="s">
        <v>24</v>
      </c>
      <c r="O309" s="7">
        <v>176300</v>
      </c>
      <c r="P309" s="8">
        <v>1</v>
      </c>
      <c r="Q309" s="7">
        <f t="shared" si="14"/>
        <v>176300</v>
      </c>
    </row>
    <row r="310" ht="14.25" hidden="1" customHeight="1" spans="1:17">
      <c r="A310" s="3" t="s">
        <v>25</v>
      </c>
      <c r="B310" s="4">
        <v>45616</v>
      </c>
      <c r="C310" s="4">
        <v>45728</v>
      </c>
      <c r="D310" s="5">
        <v>0.65625</v>
      </c>
      <c r="E310" s="6">
        <f t="shared" si="12"/>
        <v>2025</v>
      </c>
      <c r="F310" s="6">
        <f ca="1" t="shared" si="13"/>
        <v>-503</v>
      </c>
      <c r="G310" s="3" t="s">
        <v>38</v>
      </c>
      <c r="H310" s="3" t="s">
        <v>99</v>
      </c>
      <c r="I310" s="3" t="s">
        <v>92</v>
      </c>
      <c r="J310" s="3" t="s">
        <v>113</v>
      </c>
      <c r="K310" s="3" t="s">
        <v>67</v>
      </c>
      <c r="L310" s="7">
        <v>500000</v>
      </c>
      <c r="M310" s="3" t="s">
        <v>31</v>
      </c>
      <c r="N310" s="3" t="s">
        <v>72</v>
      </c>
      <c r="O310" s="7">
        <v>516500</v>
      </c>
      <c r="P310" s="8"/>
      <c r="Q310" s="7" t="str">
        <f t="shared" si="14"/>
        <v/>
      </c>
    </row>
    <row r="311" ht="14.25" hidden="1" customHeight="1" spans="1:17">
      <c r="A311" s="3" t="s">
        <v>17</v>
      </c>
      <c r="B311" s="4">
        <v>45559</v>
      </c>
      <c r="C311" s="4">
        <v>45727</v>
      </c>
      <c r="D311" s="5">
        <v>0.59375</v>
      </c>
      <c r="E311" s="6">
        <f t="shared" si="12"/>
        <v>2025</v>
      </c>
      <c r="F311" s="6">
        <f ca="1" t="shared" si="13"/>
        <v>-504</v>
      </c>
      <c r="G311" s="3" t="s">
        <v>26</v>
      </c>
      <c r="H311" s="3" t="s">
        <v>171</v>
      </c>
      <c r="I311" s="3" t="s">
        <v>122</v>
      </c>
      <c r="J311" s="3" t="s">
        <v>51</v>
      </c>
      <c r="K311" s="3" t="s">
        <v>67</v>
      </c>
      <c r="L311" s="7">
        <v>500000</v>
      </c>
      <c r="M311" s="3" t="s">
        <v>53</v>
      </c>
      <c r="N311" s="3" t="s">
        <v>24</v>
      </c>
      <c r="O311" s="7">
        <v>432800</v>
      </c>
      <c r="P311" s="8"/>
      <c r="Q311" s="7" t="str">
        <f t="shared" si="14"/>
        <v/>
      </c>
    </row>
    <row r="312" ht="14.25" customHeight="1" spans="1:17">
      <c r="A312" s="3" t="s">
        <v>208</v>
      </c>
      <c r="B312" s="4">
        <v>45662</v>
      </c>
      <c r="C312" s="4">
        <v>45726</v>
      </c>
      <c r="D312" s="5">
        <v>0.46875</v>
      </c>
      <c r="E312" s="6">
        <f t="shared" si="12"/>
        <v>2025</v>
      </c>
      <c r="F312" s="6">
        <f ca="1" t="shared" si="13"/>
        <v>-505</v>
      </c>
      <c r="G312" s="3" t="s">
        <v>18</v>
      </c>
      <c r="H312" s="3" t="s">
        <v>323</v>
      </c>
      <c r="I312" s="3" t="s">
        <v>209</v>
      </c>
      <c r="J312" s="3" t="s">
        <v>41</v>
      </c>
      <c r="K312" s="3" t="s">
        <v>52</v>
      </c>
      <c r="L312" s="7">
        <v>750000</v>
      </c>
      <c r="M312" s="3" t="s">
        <v>31</v>
      </c>
      <c r="N312" s="3" t="s">
        <v>24</v>
      </c>
      <c r="O312" s="7">
        <v>720300</v>
      </c>
      <c r="P312" s="8">
        <v>1</v>
      </c>
      <c r="Q312" s="7">
        <f t="shared" si="14"/>
        <v>720300</v>
      </c>
    </row>
    <row r="313" ht="14.25" hidden="1" customHeight="1" spans="1:17">
      <c r="A313" s="3" t="s">
        <v>73</v>
      </c>
      <c r="B313" s="4">
        <v>45672</v>
      </c>
      <c r="C313" s="4">
        <v>45724</v>
      </c>
      <c r="D313" s="5">
        <v>0.479166666666667</v>
      </c>
      <c r="E313" s="6">
        <f t="shared" si="12"/>
        <v>2025</v>
      </c>
      <c r="F313" s="6">
        <f ca="1" t="shared" si="13"/>
        <v>-507</v>
      </c>
      <c r="G313" s="3" t="s">
        <v>18</v>
      </c>
      <c r="H313" s="3" t="s">
        <v>89</v>
      </c>
      <c r="I313" s="3" t="s">
        <v>90</v>
      </c>
      <c r="J313" s="3" t="s">
        <v>51</v>
      </c>
      <c r="K313" s="3" t="s">
        <v>67</v>
      </c>
      <c r="L313" s="7">
        <v>350000</v>
      </c>
      <c r="M313" s="3" t="s">
        <v>31</v>
      </c>
      <c r="N313" s="3" t="s">
        <v>24</v>
      </c>
      <c r="O313" s="7">
        <v>329900</v>
      </c>
      <c r="P313" s="8"/>
      <c r="Q313" s="7" t="str">
        <f t="shared" si="14"/>
        <v/>
      </c>
    </row>
    <row r="314" ht="14.25" hidden="1" customHeight="1" spans="1:17">
      <c r="A314" s="3" t="s">
        <v>17</v>
      </c>
      <c r="B314" s="4">
        <v>45659</v>
      </c>
      <c r="C314" s="4">
        <v>45723</v>
      </c>
      <c r="D314" s="5">
        <v>0.520833333333333</v>
      </c>
      <c r="E314" s="6">
        <f t="shared" si="12"/>
        <v>2025</v>
      </c>
      <c r="F314" s="6">
        <f ca="1" t="shared" si="13"/>
        <v>-508</v>
      </c>
      <c r="G314" s="3" t="s">
        <v>26</v>
      </c>
      <c r="H314" s="3" t="s">
        <v>324</v>
      </c>
      <c r="I314" s="3" t="s">
        <v>118</v>
      </c>
      <c r="J314" s="3" t="s">
        <v>41</v>
      </c>
      <c r="K314" s="3" t="s">
        <v>215</v>
      </c>
      <c r="L314" s="7">
        <v>500000</v>
      </c>
      <c r="M314" s="3" t="s">
        <v>31</v>
      </c>
      <c r="N314" s="3" t="s">
        <v>57</v>
      </c>
      <c r="O314" s="7">
        <v>469400</v>
      </c>
      <c r="P314" s="8"/>
      <c r="Q314" s="7" t="str">
        <f t="shared" si="14"/>
        <v/>
      </c>
    </row>
    <row r="315" ht="14.25" hidden="1" customHeight="1" spans="1:17">
      <c r="A315" s="3" t="s">
        <v>133</v>
      </c>
      <c r="B315" s="4">
        <v>45591</v>
      </c>
      <c r="C315" s="4">
        <v>45722</v>
      </c>
      <c r="D315" s="5">
        <v>0.489583333333333</v>
      </c>
      <c r="E315" s="6">
        <f t="shared" si="12"/>
        <v>2025</v>
      </c>
      <c r="F315" s="6">
        <f ca="1" t="shared" si="13"/>
        <v>-509</v>
      </c>
      <c r="G315" s="3" t="s">
        <v>18</v>
      </c>
      <c r="H315" s="3" t="s">
        <v>142</v>
      </c>
      <c r="I315" s="3" t="s">
        <v>228</v>
      </c>
      <c r="J315" s="3" t="s">
        <v>35</v>
      </c>
      <c r="K315" s="3" t="s">
        <v>67</v>
      </c>
      <c r="L315" s="7">
        <v>1000000</v>
      </c>
      <c r="M315" s="3" t="s">
        <v>31</v>
      </c>
      <c r="N315" s="3" t="s">
        <v>105</v>
      </c>
      <c r="O315" s="7">
        <v>856800</v>
      </c>
      <c r="P315" s="8"/>
      <c r="Q315" s="7" t="str">
        <f t="shared" si="14"/>
        <v/>
      </c>
    </row>
    <row r="316" ht="14.25" hidden="1" customHeight="1" spans="1:17">
      <c r="A316" s="3" t="s">
        <v>85</v>
      </c>
      <c r="B316" s="4">
        <v>45567</v>
      </c>
      <c r="C316" s="4">
        <v>45722</v>
      </c>
      <c r="D316" s="5">
        <v>0.4375</v>
      </c>
      <c r="E316" s="6">
        <f t="shared" si="12"/>
        <v>2025</v>
      </c>
      <c r="F316" s="6">
        <f ca="1" t="shared" si="13"/>
        <v>-509</v>
      </c>
      <c r="G316" s="3" t="s">
        <v>18</v>
      </c>
      <c r="H316" s="3" t="s">
        <v>86</v>
      </c>
      <c r="I316" s="3" t="s">
        <v>322</v>
      </c>
      <c r="J316" s="3" t="s">
        <v>51</v>
      </c>
      <c r="K316" s="3" t="s">
        <v>140</v>
      </c>
      <c r="L316" s="7">
        <v>180000</v>
      </c>
      <c r="M316" s="3" t="s">
        <v>31</v>
      </c>
      <c r="N316" s="3" t="s">
        <v>72</v>
      </c>
      <c r="O316" s="7">
        <v>175100</v>
      </c>
      <c r="P316" s="8"/>
      <c r="Q316" s="7" t="str">
        <f t="shared" si="14"/>
        <v/>
      </c>
    </row>
    <row r="317" ht="14.25" hidden="1" customHeight="1" spans="1:17">
      <c r="A317" s="3" t="s">
        <v>285</v>
      </c>
      <c r="B317" s="4">
        <v>45547</v>
      </c>
      <c r="C317" s="4">
        <v>45720</v>
      </c>
      <c r="D317" s="5">
        <v>0.625</v>
      </c>
      <c r="E317" s="6">
        <f t="shared" si="12"/>
        <v>2025</v>
      </c>
      <c r="F317" s="6">
        <f ca="1" t="shared" si="13"/>
        <v>-511</v>
      </c>
      <c r="G317" s="3" t="s">
        <v>18</v>
      </c>
      <c r="H317" s="3" t="s">
        <v>325</v>
      </c>
      <c r="I317" s="3" t="s">
        <v>287</v>
      </c>
      <c r="J317" s="3" t="s">
        <v>109</v>
      </c>
      <c r="K317" s="3" t="s">
        <v>140</v>
      </c>
      <c r="L317" s="7">
        <v>500000</v>
      </c>
      <c r="M317" s="3" t="s">
        <v>31</v>
      </c>
      <c r="N317" s="3" t="s">
        <v>179</v>
      </c>
      <c r="O317" s="7">
        <v>456700</v>
      </c>
      <c r="P317" s="8"/>
      <c r="Q317" s="7" t="str">
        <f t="shared" si="14"/>
        <v/>
      </c>
    </row>
    <row r="318" ht="14.25" hidden="1" customHeight="1" spans="1:17">
      <c r="A318" s="3" t="s">
        <v>25</v>
      </c>
      <c r="B318" s="4">
        <v>45578</v>
      </c>
      <c r="C318" s="4">
        <v>45720</v>
      </c>
      <c r="D318" s="5">
        <v>0.604166666666667</v>
      </c>
      <c r="E318" s="6">
        <f t="shared" si="12"/>
        <v>2025</v>
      </c>
      <c r="F318" s="6">
        <f ca="1" t="shared" si="13"/>
        <v>-511</v>
      </c>
      <c r="G318" s="3" t="s">
        <v>18</v>
      </c>
      <c r="H318" s="3" t="s">
        <v>89</v>
      </c>
      <c r="I318" s="3" t="s">
        <v>212</v>
      </c>
      <c r="J318" s="3" t="s">
        <v>51</v>
      </c>
      <c r="K318" s="3" t="s">
        <v>140</v>
      </c>
      <c r="L318" s="7">
        <v>250000</v>
      </c>
      <c r="M318" s="3" t="s">
        <v>101</v>
      </c>
      <c r="N318" s="3" t="s">
        <v>163</v>
      </c>
      <c r="O318" s="7">
        <v>239400</v>
      </c>
      <c r="P318" s="8"/>
      <c r="Q318" s="7" t="str">
        <f t="shared" si="14"/>
        <v/>
      </c>
    </row>
    <row r="319" ht="14.25" hidden="1" customHeight="1" spans="1:17">
      <c r="A319" s="3" t="s">
        <v>17</v>
      </c>
      <c r="B319" s="4">
        <v>45564</v>
      </c>
      <c r="C319" s="4">
        <v>45719</v>
      </c>
      <c r="D319" s="5">
        <v>0.4375</v>
      </c>
      <c r="E319" s="6">
        <f t="shared" si="12"/>
        <v>2025</v>
      </c>
      <c r="F319" s="6">
        <f ca="1" t="shared" si="13"/>
        <v>-512</v>
      </c>
      <c r="G319" s="3" t="s">
        <v>18</v>
      </c>
      <c r="H319" s="3" t="s">
        <v>114</v>
      </c>
      <c r="I319" s="3" t="s">
        <v>199</v>
      </c>
      <c r="J319" s="3" t="s">
        <v>41</v>
      </c>
      <c r="K319" s="3" t="s">
        <v>67</v>
      </c>
      <c r="L319" s="7">
        <v>1000000</v>
      </c>
      <c r="M319" s="3" t="s">
        <v>23</v>
      </c>
      <c r="N319" s="3" t="s">
        <v>105</v>
      </c>
      <c r="O319" s="7">
        <v>1015800</v>
      </c>
      <c r="P319" s="8"/>
      <c r="Q319" s="7" t="str">
        <f t="shared" si="14"/>
        <v/>
      </c>
    </row>
    <row r="320" ht="14.25" hidden="1" customHeight="1" spans="1:17">
      <c r="A320" s="3" t="s">
        <v>17</v>
      </c>
      <c r="B320" s="4">
        <v>45577</v>
      </c>
      <c r="C320" s="4">
        <v>45712</v>
      </c>
      <c r="D320" s="5">
        <v>0.53125</v>
      </c>
      <c r="E320" s="6">
        <f t="shared" si="12"/>
        <v>2025</v>
      </c>
      <c r="F320" s="6">
        <f ca="1" t="shared" si="13"/>
        <v>-519</v>
      </c>
      <c r="G320" s="3" t="s">
        <v>18</v>
      </c>
      <c r="H320" s="3" t="s">
        <v>210</v>
      </c>
      <c r="I320" s="3" t="s">
        <v>234</v>
      </c>
      <c r="J320" s="3" t="s">
        <v>51</v>
      </c>
      <c r="K320" s="3" t="s">
        <v>67</v>
      </c>
      <c r="L320" s="7">
        <v>1000000</v>
      </c>
      <c r="M320" s="3" t="s">
        <v>56</v>
      </c>
      <c r="N320" s="3" t="s">
        <v>24</v>
      </c>
      <c r="O320" s="7">
        <v>920200</v>
      </c>
      <c r="P320" s="8"/>
      <c r="Q320" s="7" t="str">
        <f t="shared" si="14"/>
        <v/>
      </c>
    </row>
    <row r="321" ht="14.25" customHeight="1" spans="1:17">
      <c r="A321" s="3" t="s">
        <v>216</v>
      </c>
      <c r="B321" s="4">
        <v>45600</v>
      </c>
      <c r="C321" s="4">
        <v>45709</v>
      </c>
      <c r="D321" s="5">
        <v>0.4375</v>
      </c>
      <c r="E321" s="6">
        <f t="shared" si="12"/>
        <v>2025</v>
      </c>
      <c r="F321" s="6">
        <f ca="1" t="shared" si="13"/>
        <v>-522</v>
      </c>
      <c r="G321" s="3" t="s">
        <v>18</v>
      </c>
      <c r="H321" s="3" t="s">
        <v>178</v>
      </c>
      <c r="I321" s="3" t="s">
        <v>218</v>
      </c>
      <c r="J321" s="3" t="s">
        <v>41</v>
      </c>
      <c r="K321" s="3" t="s">
        <v>62</v>
      </c>
      <c r="L321" s="7">
        <v>350000</v>
      </c>
      <c r="M321" s="3" t="s">
        <v>53</v>
      </c>
      <c r="N321" s="3" t="s">
        <v>128</v>
      </c>
      <c r="O321" s="7">
        <v>334000</v>
      </c>
      <c r="P321" s="8">
        <v>1</v>
      </c>
      <c r="Q321" s="7">
        <f t="shared" si="14"/>
        <v>334000</v>
      </c>
    </row>
    <row r="322" ht="14.25" hidden="1" customHeight="1" spans="1:17">
      <c r="A322" s="3" t="s">
        <v>17</v>
      </c>
      <c r="B322" s="4">
        <v>45584</v>
      </c>
      <c r="C322" s="4">
        <v>45707</v>
      </c>
      <c r="D322" s="5">
        <v>0.4375</v>
      </c>
      <c r="E322" s="6">
        <f t="shared" ref="E322:E361" si="15">YEAR(C322)</f>
        <v>2025</v>
      </c>
      <c r="F322" s="6">
        <f ca="1" t="shared" ref="F322:F361" si="16">C322-TODAY()</f>
        <v>-524</v>
      </c>
      <c r="G322" s="3" t="s">
        <v>26</v>
      </c>
      <c r="H322" s="3" t="s">
        <v>171</v>
      </c>
      <c r="I322" s="3" t="s">
        <v>40</v>
      </c>
      <c r="J322" s="3" t="s">
        <v>35</v>
      </c>
      <c r="K322" s="3" t="s">
        <v>97</v>
      </c>
      <c r="L322" s="7">
        <v>350000</v>
      </c>
      <c r="M322" s="3" t="s">
        <v>77</v>
      </c>
      <c r="N322" s="3" t="s">
        <v>47</v>
      </c>
      <c r="O322" s="7">
        <v>339600</v>
      </c>
      <c r="P322" s="8"/>
      <c r="Q322" s="7" t="str">
        <f t="shared" ref="Q322:Q361" si="17">IF(P322="","",O322*P322)</f>
        <v/>
      </c>
    </row>
    <row r="323" ht="14.25" customHeight="1" spans="1:17">
      <c r="A323" s="3" t="s">
        <v>192</v>
      </c>
      <c r="B323" s="4">
        <v>45532</v>
      </c>
      <c r="C323" s="4">
        <v>45705</v>
      </c>
      <c r="D323" s="5">
        <v>0.625</v>
      </c>
      <c r="E323" s="6">
        <f t="shared" si="15"/>
        <v>2025</v>
      </c>
      <c r="F323" s="6">
        <f ca="1" t="shared" si="16"/>
        <v>-526</v>
      </c>
      <c r="G323" s="3" t="s">
        <v>26</v>
      </c>
      <c r="H323" s="3" t="s">
        <v>80</v>
      </c>
      <c r="I323" s="3" t="s">
        <v>194</v>
      </c>
      <c r="J323" s="3" t="s">
        <v>41</v>
      </c>
      <c r="K323" s="3" t="s">
        <v>52</v>
      </c>
      <c r="L323" s="7">
        <v>1000000</v>
      </c>
      <c r="M323" s="3" t="s">
        <v>31</v>
      </c>
      <c r="N323" s="3" t="s">
        <v>24</v>
      </c>
      <c r="O323" s="7">
        <v>962800</v>
      </c>
      <c r="P323" s="8">
        <v>1</v>
      </c>
      <c r="Q323" s="7">
        <f t="shared" si="17"/>
        <v>962800</v>
      </c>
    </row>
    <row r="324" ht="14.25" customHeight="1" spans="1:17">
      <c r="A324" s="3" t="s">
        <v>25</v>
      </c>
      <c r="B324" s="4">
        <v>45616</v>
      </c>
      <c r="C324" s="4">
        <v>45704</v>
      </c>
      <c r="D324" s="5">
        <v>0.583333333333333</v>
      </c>
      <c r="E324" s="6">
        <f t="shared" si="15"/>
        <v>2025</v>
      </c>
      <c r="F324" s="6">
        <f ca="1" t="shared" si="16"/>
        <v>-527</v>
      </c>
      <c r="G324" s="3" t="s">
        <v>18</v>
      </c>
      <c r="H324" s="3" t="s">
        <v>167</v>
      </c>
      <c r="I324" s="3" t="s">
        <v>168</v>
      </c>
      <c r="J324" s="3" t="s">
        <v>51</v>
      </c>
      <c r="K324" s="3" t="s">
        <v>52</v>
      </c>
      <c r="L324" s="7">
        <v>500000</v>
      </c>
      <c r="M324" s="3" t="s">
        <v>42</v>
      </c>
      <c r="N324" s="3" t="s">
        <v>128</v>
      </c>
      <c r="O324" s="7">
        <v>455300</v>
      </c>
      <c r="P324" s="8">
        <v>1</v>
      </c>
      <c r="Q324" s="7">
        <f t="shared" si="17"/>
        <v>455300</v>
      </c>
    </row>
    <row r="325" ht="14.25" customHeight="1" spans="1:17">
      <c r="A325" s="3" t="s">
        <v>25</v>
      </c>
      <c r="B325" s="4">
        <v>45572</v>
      </c>
      <c r="C325" s="4">
        <v>45703</v>
      </c>
      <c r="D325" s="5">
        <v>0.59375</v>
      </c>
      <c r="E325" s="6">
        <f t="shared" si="15"/>
        <v>2025</v>
      </c>
      <c r="F325" s="6">
        <f ca="1" t="shared" si="16"/>
        <v>-528</v>
      </c>
      <c r="G325" s="3" t="s">
        <v>18</v>
      </c>
      <c r="H325" s="3" t="s">
        <v>94</v>
      </c>
      <c r="I325" s="3" t="s">
        <v>310</v>
      </c>
      <c r="J325" s="3" t="s">
        <v>51</v>
      </c>
      <c r="K325" s="3" t="s">
        <v>62</v>
      </c>
      <c r="L325" s="7">
        <v>500000</v>
      </c>
      <c r="M325" s="3" t="s">
        <v>53</v>
      </c>
      <c r="N325" s="3" t="s">
        <v>24</v>
      </c>
      <c r="O325" s="7">
        <v>479100</v>
      </c>
      <c r="P325" s="8">
        <v>1</v>
      </c>
      <c r="Q325" s="7">
        <f t="shared" si="17"/>
        <v>479100</v>
      </c>
    </row>
    <row r="326" ht="14.25" hidden="1" customHeight="1" spans="1:17">
      <c r="A326" s="3" t="s">
        <v>17</v>
      </c>
      <c r="B326" s="4">
        <v>45614</v>
      </c>
      <c r="C326" s="4">
        <v>45701</v>
      </c>
      <c r="D326" s="5">
        <v>0.604166666666667</v>
      </c>
      <c r="E326" s="6">
        <f t="shared" si="15"/>
        <v>2025</v>
      </c>
      <c r="F326" s="6">
        <f ca="1" t="shared" si="16"/>
        <v>-530</v>
      </c>
      <c r="G326" s="3" t="s">
        <v>18</v>
      </c>
      <c r="H326" s="3" t="s">
        <v>210</v>
      </c>
      <c r="I326" s="3" t="s">
        <v>115</v>
      </c>
      <c r="J326" s="3" t="s">
        <v>21</v>
      </c>
      <c r="K326" s="3" t="s">
        <v>67</v>
      </c>
      <c r="L326" s="7">
        <v>50000</v>
      </c>
      <c r="M326" s="3" t="s">
        <v>23</v>
      </c>
      <c r="N326" s="3" t="s">
        <v>24</v>
      </c>
      <c r="O326" s="7">
        <v>52200</v>
      </c>
      <c r="P326" s="8"/>
      <c r="Q326" s="7" t="str">
        <f t="shared" si="17"/>
        <v/>
      </c>
    </row>
    <row r="327" ht="14.25" hidden="1" customHeight="1" spans="1:17">
      <c r="A327" s="3" t="s">
        <v>17</v>
      </c>
      <c r="B327" s="4">
        <v>45640</v>
      </c>
      <c r="C327" s="4">
        <v>45701</v>
      </c>
      <c r="D327" s="5">
        <v>0.46875</v>
      </c>
      <c r="E327" s="6">
        <f t="shared" si="15"/>
        <v>2025</v>
      </c>
      <c r="F327" s="6">
        <f ca="1" t="shared" si="16"/>
        <v>-530</v>
      </c>
      <c r="G327" s="3" t="s">
        <v>38</v>
      </c>
      <c r="H327" s="3" t="s">
        <v>326</v>
      </c>
      <c r="I327" s="3" t="s">
        <v>107</v>
      </c>
      <c r="J327" s="3" t="s">
        <v>51</v>
      </c>
      <c r="K327" s="3" t="s">
        <v>97</v>
      </c>
      <c r="L327" s="7">
        <v>1000000</v>
      </c>
      <c r="M327" s="3" t="s">
        <v>104</v>
      </c>
      <c r="N327" s="3" t="s">
        <v>24</v>
      </c>
      <c r="O327" s="7">
        <v>1002200</v>
      </c>
      <c r="P327" s="8"/>
      <c r="Q327" s="7" t="str">
        <f t="shared" si="17"/>
        <v/>
      </c>
    </row>
    <row r="328" ht="14.25" hidden="1" customHeight="1" spans="1:17">
      <c r="A328" s="3" t="s">
        <v>25</v>
      </c>
      <c r="B328" s="4">
        <v>45639</v>
      </c>
      <c r="C328" s="4">
        <v>45697</v>
      </c>
      <c r="D328" s="5">
        <v>0.4375</v>
      </c>
      <c r="E328" s="6">
        <f t="shared" si="15"/>
        <v>2025</v>
      </c>
      <c r="F328" s="6">
        <f ca="1" t="shared" si="16"/>
        <v>-534</v>
      </c>
      <c r="G328" s="3" t="s">
        <v>38</v>
      </c>
      <c r="H328" s="3" t="s">
        <v>39</v>
      </c>
      <c r="I328" s="3" t="s">
        <v>222</v>
      </c>
      <c r="J328" s="3" t="s">
        <v>113</v>
      </c>
      <c r="K328" s="3" t="s">
        <v>97</v>
      </c>
      <c r="L328" s="7">
        <v>80000</v>
      </c>
      <c r="M328" s="3" t="s">
        <v>42</v>
      </c>
      <c r="N328" s="3" t="s">
        <v>24</v>
      </c>
      <c r="O328" s="7">
        <v>80700</v>
      </c>
      <c r="P328" s="8"/>
      <c r="Q328" s="7" t="str">
        <f t="shared" si="17"/>
        <v/>
      </c>
    </row>
    <row r="329" ht="14.25" customHeight="1" spans="1:17">
      <c r="A329" s="3" t="s">
        <v>216</v>
      </c>
      <c r="B329" s="4">
        <v>45618</v>
      </c>
      <c r="C329" s="4">
        <v>45691</v>
      </c>
      <c r="D329" s="5">
        <v>0.59375</v>
      </c>
      <c r="E329" s="6">
        <f t="shared" si="15"/>
        <v>2025</v>
      </c>
      <c r="F329" s="6">
        <f ca="1" t="shared" si="16"/>
        <v>-540</v>
      </c>
      <c r="G329" s="3" t="s">
        <v>18</v>
      </c>
      <c r="H329" s="3" t="s">
        <v>327</v>
      </c>
      <c r="I329" s="3" t="s">
        <v>218</v>
      </c>
      <c r="J329" s="3" t="s">
        <v>113</v>
      </c>
      <c r="K329" s="3" t="s">
        <v>52</v>
      </c>
      <c r="L329" s="7">
        <v>50000</v>
      </c>
      <c r="M329" s="3" t="s">
        <v>104</v>
      </c>
      <c r="N329" s="3" t="s">
        <v>24</v>
      </c>
      <c r="O329" s="7">
        <v>52300</v>
      </c>
      <c r="P329" s="8">
        <v>1</v>
      </c>
      <c r="Q329" s="7">
        <f t="shared" si="17"/>
        <v>52300</v>
      </c>
    </row>
    <row r="330" ht="14.25" hidden="1" customHeight="1" spans="1:17">
      <c r="A330" s="3" t="s">
        <v>25</v>
      </c>
      <c r="B330" s="4">
        <v>45558</v>
      </c>
      <c r="C330" s="4">
        <v>45689</v>
      </c>
      <c r="D330" s="5">
        <v>0.447916666666667</v>
      </c>
      <c r="E330" s="6">
        <f t="shared" si="15"/>
        <v>2025</v>
      </c>
      <c r="F330" s="6">
        <f ca="1" t="shared" si="16"/>
        <v>-542</v>
      </c>
      <c r="G330" s="3" t="s">
        <v>26</v>
      </c>
      <c r="H330" s="3" t="s">
        <v>58</v>
      </c>
      <c r="I330" s="3" t="s">
        <v>168</v>
      </c>
      <c r="J330" s="3" t="s">
        <v>109</v>
      </c>
      <c r="K330" s="3" t="s">
        <v>67</v>
      </c>
      <c r="L330" s="7">
        <v>80000</v>
      </c>
      <c r="M330" s="3" t="s">
        <v>104</v>
      </c>
      <c r="N330" s="3" t="s">
        <v>47</v>
      </c>
      <c r="O330" s="7">
        <v>69000</v>
      </c>
      <c r="P330" s="8"/>
      <c r="Q330" s="7" t="str">
        <f t="shared" si="17"/>
        <v/>
      </c>
    </row>
    <row r="331" ht="14.25" customHeight="1" spans="1:17">
      <c r="A331" s="3" t="s">
        <v>17</v>
      </c>
      <c r="B331" s="4">
        <v>45553</v>
      </c>
      <c r="C331" s="4">
        <v>45683</v>
      </c>
      <c r="D331" s="5">
        <v>0.479166666666667</v>
      </c>
      <c r="E331" s="6">
        <f t="shared" si="15"/>
        <v>2025</v>
      </c>
      <c r="F331" s="6">
        <f ca="1" t="shared" si="16"/>
        <v>-548</v>
      </c>
      <c r="G331" s="3" t="s">
        <v>26</v>
      </c>
      <c r="H331" s="3" t="s">
        <v>328</v>
      </c>
      <c r="I331" s="3" t="s">
        <v>20</v>
      </c>
      <c r="J331" s="3" t="s">
        <v>41</v>
      </c>
      <c r="K331" s="3" t="s">
        <v>52</v>
      </c>
      <c r="L331" s="7">
        <v>1500000</v>
      </c>
      <c r="M331" s="3" t="s">
        <v>60</v>
      </c>
      <c r="N331" s="3" t="s">
        <v>32</v>
      </c>
      <c r="O331" s="7">
        <v>1344400</v>
      </c>
      <c r="P331" s="8">
        <v>1</v>
      </c>
      <c r="Q331" s="7">
        <f t="shared" si="17"/>
        <v>1344400</v>
      </c>
    </row>
    <row r="332" ht="14.25" hidden="1" customHeight="1" spans="1:17">
      <c r="A332" s="3" t="s">
        <v>25</v>
      </c>
      <c r="B332" s="4">
        <v>45622</v>
      </c>
      <c r="C332" s="4">
        <v>45681</v>
      </c>
      <c r="D332" s="5">
        <v>0.4375</v>
      </c>
      <c r="E332" s="6">
        <f t="shared" si="15"/>
        <v>2025</v>
      </c>
      <c r="F332" s="6">
        <f ca="1" t="shared" si="16"/>
        <v>-550</v>
      </c>
      <c r="G332" s="3" t="s">
        <v>18</v>
      </c>
      <c r="H332" s="3" t="s">
        <v>86</v>
      </c>
      <c r="I332" s="3" t="s">
        <v>170</v>
      </c>
      <c r="J332" s="3" t="s">
        <v>21</v>
      </c>
      <c r="K332" s="3" t="s">
        <v>67</v>
      </c>
      <c r="L332" s="7">
        <v>250000</v>
      </c>
      <c r="M332" s="3" t="s">
        <v>31</v>
      </c>
      <c r="N332" s="3" t="s">
        <v>24</v>
      </c>
      <c r="O332" s="7">
        <v>247100</v>
      </c>
      <c r="P332" s="8"/>
      <c r="Q332" s="7" t="str">
        <f t="shared" si="17"/>
        <v/>
      </c>
    </row>
    <row r="333" ht="14.25" hidden="1" customHeight="1" spans="1:17">
      <c r="A333" s="3" t="s">
        <v>25</v>
      </c>
      <c r="B333" s="4">
        <v>45616</v>
      </c>
      <c r="C333" s="4">
        <v>45681</v>
      </c>
      <c r="D333" s="5">
        <v>0.625</v>
      </c>
      <c r="E333" s="6">
        <f t="shared" si="15"/>
        <v>2025</v>
      </c>
      <c r="F333" s="6">
        <f ca="1" t="shared" si="16"/>
        <v>-550</v>
      </c>
      <c r="G333" s="3" t="s">
        <v>26</v>
      </c>
      <c r="H333" s="3" t="s">
        <v>74</v>
      </c>
      <c r="I333" s="3" t="s">
        <v>262</v>
      </c>
      <c r="J333" s="3" t="s">
        <v>35</v>
      </c>
      <c r="K333" s="3" t="s">
        <v>97</v>
      </c>
      <c r="L333" s="7">
        <v>250000</v>
      </c>
      <c r="M333" s="3" t="s">
        <v>31</v>
      </c>
      <c r="N333" s="3" t="s">
        <v>128</v>
      </c>
      <c r="O333" s="7">
        <v>220800</v>
      </c>
      <c r="P333" s="8"/>
      <c r="Q333" s="7" t="str">
        <f t="shared" si="17"/>
        <v/>
      </c>
    </row>
    <row r="334" ht="14.25" hidden="1" customHeight="1" spans="1:17">
      <c r="A334" s="3" t="s">
        <v>73</v>
      </c>
      <c r="B334" s="4">
        <v>45549</v>
      </c>
      <c r="C334" s="4">
        <v>45676</v>
      </c>
      <c r="D334" s="5">
        <v>0.4375</v>
      </c>
      <c r="E334" s="6">
        <f t="shared" si="15"/>
        <v>2025</v>
      </c>
      <c r="F334" s="6">
        <f ca="1" t="shared" si="16"/>
        <v>-555</v>
      </c>
      <c r="G334" s="3" t="s">
        <v>26</v>
      </c>
      <c r="H334" s="3" t="s">
        <v>283</v>
      </c>
      <c r="I334" s="3" t="s">
        <v>75</v>
      </c>
      <c r="J334" s="3" t="s">
        <v>21</v>
      </c>
      <c r="K334" s="3" t="s">
        <v>215</v>
      </c>
      <c r="L334" s="7">
        <v>500000</v>
      </c>
      <c r="M334" s="3" t="s">
        <v>68</v>
      </c>
      <c r="N334" s="3" t="s">
        <v>24</v>
      </c>
      <c r="O334" s="7">
        <v>491200</v>
      </c>
      <c r="P334" s="8"/>
      <c r="Q334" s="7" t="str">
        <f t="shared" si="17"/>
        <v/>
      </c>
    </row>
    <row r="335" ht="14.25" hidden="1" customHeight="1" spans="1:17">
      <c r="A335" s="3" t="s">
        <v>17</v>
      </c>
      <c r="B335" s="4">
        <v>45629</v>
      </c>
      <c r="C335" s="4">
        <v>45675</v>
      </c>
      <c r="D335" s="5">
        <v>0.65625</v>
      </c>
      <c r="E335" s="6">
        <f t="shared" si="15"/>
        <v>2025</v>
      </c>
      <c r="F335" s="6">
        <f ca="1" t="shared" si="16"/>
        <v>-556</v>
      </c>
      <c r="G335" s="3" t="s">
        <v>18</v>
      </c>
      <c r="H335" s="3" t="s">
        <v>114</v>
      </c>
      <c r="I335" s="3" t="s">
        <v>257</v>
      </c>
      <c r="J335" s="3" t="s">
        <v>41</v>
      </c>
      <c r="K335" s="3" t="s">
        <v>67</v>
      </c>
      <c r="L335" s="7">
        <v>80000</v>
      </c>
      <c r="M335" s="3" t="s">
        <v>101</v>
      </c>
      <c r="N335" s="3" t="s">
        <v>24</v>
      </c>
      <c r="O335" s="7">
        <v>80700</v>
      </c>
      <c r="P335" s="8"/>
      <c r="Q335" s="7" t="str">
        <f t="shared" si="17"/>
        <v/>
      </c>
    </row>
    <row r="336" ht="14.25" hidden="1" customHeight="1" spans="1:17">
      <c r="A336" s="3" t="s">
        <v>73</v>
      </c>
      <c r="B336" s="4">
        <v>45634</v>
      </c>
      <c r="C336" s="4">
        <v>45673</v>
      </c>
      <c r="D336" s="5">
        <v>0.5</v>
      </c>
      <c r="E336" s="6">
        <f t="shared" si="15"/>
        <v>2025</v>
      </c>
      <c r="F336" s="6">
        <f ca="1" t="shared" si="16"/>
        <v>-558</v>
      </c>
      <c r="G336" s="3" t="s">
        <v>38</v>
      </c>
      <c r="H336" s="3" t="s">
        <v>281</v>
      </c>
      <c r="I336" s="3" t="s">
        <v>77</v>
      </c>
      <c r="J336" s="3" t="s">
        <v>21</v>
      </c>
      <c r="K336" s="3" t="s">
        <v>140</v>
      </c>
      <c r="L336" s="7">
        <v>1500000</v>
      </c>
      <c r="M336" s="3" t="s">
        <v>77</v>
      </c>
      <c r="N336" s="3" t="s">
        <v>24</v>
      </c>
      <c r="O336" s="7">
        <v>1320800</v>
      </c>
      <c r="P336" s="8"/>
      <c r="Q336" s="7" t="str">
        <f t="shared" si="17"/>
        <v/>
      </c>
    </row>
    <row r="337" ht="14.25" customHeight="1" spans="1:17">
      <c r="A337" s="3" t="s">
        <v>17</v>
      </c>
      <c r="B337" s="4">
        <v>45511</v>
      </c>
      <c r="C337" s="4">
        <v>45672</v>
      </c>
      <c r="D337" s="5">
        <v>0.5625</v>
      </c>
      <c r="E337" s="6">
        <f t="shared" si="15"/>
        <v>2025</v>
      </c>
      <c r="F337" s="6">
        <f ca="1" t="shared" si="16"/>
        <v>-559</v>
      </c>
      <c r="G337" s="3" t="s">
        <v>26</v>
      </c>
      <c r="H337" s="3" t="s">
        <v>119</v>
      </c>
      <c r="I337" s="3" t="s">
        <v>88</v>
      </c>
      <c r="J337" s="3" t="s">
        <v>41</v>
      </c>
      <c r="K337" s="3" t="s">
        <v>52</v>
      </c>
      <c r="L337" s="7">
        <v>250000</v>
      </c>
      <c r="M337" s="3" t="s">
        <v>37</v>
      </c>
      <c r="N337" s="3" t="s">
        <v>24</v>
      </c>
      <c r="O337" s="7">
        <v>214200</v>
      </c>
      <c r="P337" s="8">
        <v>1</v>
      </c>
      <c r="Q337" s="7">
        <f t="shared" si="17"/>
        <v>214200</v>
      </c>
    </row>
    <row r="338" ht="14.25" hidden="1" customHeight="1" spans="1:17">
      <c r="A338" s="3" t="s">
        <v>25</v>
      </c>
      <c r="B338" s="4">
        <v>45548</v>
      </c>
      <c r="C338" s="4">
        <v>45672</v>
      </c>
      <c r="D338" s="5">
        <v>0.458333333333333</v>
      </c>
      <c r="E338" s="6">
        <f t="shared" si="15"/>
        <v>2025</v>
      </c>
      <c r="F338" s="6">
        <f ca="1" t="shared" si="16"/>
        <v>-559</v>
      </c>
      <c r="G338" s="3" t="s">
        <v>18</v>
      </c>
      <c r="H338" s="3" t="s">
        <v>146</v>
      </c>
      <c r="I338" s="3" t="s">
        <v>168</v>
      </c>
      <c r="J338" s="3" t="s">
        <v>41</v>
      </c>
      <c r="K338" s="3" t="s">
        <v>67</v>
      </c>
      <c r="L338" s="7">
        <v>250000</v>
      </c>
      <c r="M338" s="3" t="s">
        <v>23</v>
      </c>
      <c r="N338" s="3" t="s">
        <v>24</v>
      </c>
      <c r="O338" s="7">
        <v>255700</v>
      </c>
      <c r="P338" s="8"/>
      <c r="Q338" s="7" t="str">
        <f t="shared" si="17"/>
        <v/>
      </c>
    </row>
    <row r="339" ht="14.25" hidden="1" customHeight="1" spans="1:17">
      <c r="A339" s="3" t="s">
        <v>48</v>
      </c>
      <c r="B339" s="4">
        <v>45493</v>
      </c>
      <c r="C339" s="4">
        <v>45670</v>
      </c>
      <c r="D339" s="5">
        <v>0.614583333333333</v>
      </c>
      <c r="E339" s="6">
        <f t="shared" si="15"/>
        <v>2025</v>
      </c>
      <c r="F339" s="6">
        <f ca="1" t="shared" si="16"/>
        <v>-561</v>
      </c>
      <c r="G339" s="3" t="s">
        <v>38</v>
      </c>
      <c r="H339" s="3" t="s">
        <v>329</v>
      </c>
      <c r="I339" s="3" t="s">
        <v>189</v>
      </c>
      <c r="J339" s="3" t="s">
        <v>41</v>
      </c>
      <c r="K339" s="3" t="s">
        <v>97</v>
      </c>
      <c r="L339" s="7">
        <v>1500000</v>
      </c>
      <c r="M339" s="3" t="s">
        <v>31</v>
      </c>
      <c r="N339" s="3" t="s">
        <v>57</v>
      </c>
      <c r="O339" s="7">
        <v>1362500</v>
      </c>
      <c r="P339" s="8"/>
      <c r="Q339" s="7" t="str">
        <f t="shared" si="17"/>
        <v/>
      </c>
    </row>
    <row r="340" ht="14.25" hidden="1" customHeight="1" spans="1:17">
      <c r="A340" s="3" t="s">
        <v>25</v>
      </c>
      <c r="B340" s="4">
        <v>45577</v>
      </c>
      <c r="C340" s="4">
        <v>45664</v>
      </c>
      <c r="D340" s="5">
        <v>0.5</v>
      </c>
      <c r="E340" s="6">
        <f t="shared" si="15"/>
        <v>2025</v>
      </c>
      <c r="F340" s="6">
        <f ca="1" t="shared" si="16"/>
        <v>-567</v>
      </c>
      <c r="G340" s="3" t="s">
        <v>18</v>
      </c>
      <c r="H340" s="3" t="s">
        <v>178</v>
      </c>
      <c r="I340" s="3" t="s">
        <v>214</v>
      </c>
      <c r="J340" s="3" t="s">
        <v>21</v>
      </c>
      <c r="K340" s="3" t="s">
        <v>67</v>
      </c>
      <c r="L340" s="7">
        <v>350000</v>
      </c>
      <c r="M340" s="3" t="s">
        <v>42</v>
      </c>
      <c r="N340" s="3" t="s">
        <v>24</v>
      </c>
      <c r="O340" s="7">
        <v>365800</v>
      </c>
      <c r="P340" s="8"/>
      <c r="Q340" s="7" t="str">
        <f t="shared" si="17"/>
        <v/>
      </c>
    </row>
    <row r="341" ht="14.25" hidden="1" customHeight="1" spans="1:17">
      <c r="A341" s="3" t="s">
        <v>25</v>
      </c>
      <c r="B341" s="4">
        <v>45538</v>
      </c>
      <c r="C341" s="4">
        <v>45664</v>
      </c>
      <c r="D341" s="5">
        <v>0.625</v>
      </c>
      <c r="E341" s="6">
        <f t="shared" si="15"/>
        <v>2025</v>
      </c>
      <c r="F341" s="6">
        <f ca="1" t="shared" si="16"/>
        <v>-567</v>
      </c>
      <c r="G341" s="3" t="s">
        <v>26</v>
      </c>
      <c r="H341" s="3" t="s">
        <v>80</v>
      </c>
      <c r="I341" s="3" t="s">
        <v>28</v>
      </c>
      <c r="J341" s="3" t="s">
        <v>29</v>
      </c>
      <c r="K341" s="3" t="s">
        <v>215</v>
      </c>
      <c r="L341" s="7">
        <v>750000</v>
      </c>
      <c r="M341" s="3" t="s">
        <v>31</v>
      </c>
      <c r="N341" s="3" t="s">
        <v>24</v>
      </c>
      <c r="O341" s="7">
        <v>762700</v>
      </c>
      <c r="P341" s="8"/>
      <c r="Q341" s="7" t="str">
        <f t="shared" si="17"/>
        <v/>
      </c>
    </row>
    <row r="342" ht="14.25" hidden="1" customHeight="1" spans="1:17">
      <c r="A342" s="1" t="s">
        <v>25</v>
      </c>
      <c r="B342" s="9">
        <v>46183</v>
      </c>
      <c r="C342" s="9">
        <v>46223</v>
      </c>
      <c r="D342" s="5">
        <v>0.625</v>
      </c>
      <c r="E342" s="1">
        <f t="shared" si="15"/>
        <v>2026</v>
      </c>
      <c r="F342" s="1">
        <f ca="1" t="shared" si="16"/>
        <v>-8</v>
      </c>
      <c r="G342" s="1" t="s">
        <v>38</v>
      </c>
      <c r="H342" s="1" t="s">
        <v>330</v>
      </c>
      <c r="I342" s="1" t="s">
        <v>331</v>
      </c>
      <c r="J342" s="1" t="s">
        <v>41</v>
      </c>
      <c r="K342" s="1" t="s">
        <v>51</v>
      </c>
      <c r="L342" s="1">
        <v>300000</v>
      </c>
      <c r="M342" s="1" t="s">
        <v>31</v>
      </c>
      <c r="N342" s="1" t="s">
        <v>32</v>
      </c>
      <c r="O342" s="1">
        <v>285000</v>
      </c>
      <c r="P342" s="1">
        <v>0.6</v>
      </c>
      <c r="Q342" s="1">
        <f t="shared" si="17"/>
        <v>171000</v>
      </c>
    </row>
    <row r="343" ht="14.25" hidden="1" customHeight="1" spans="1:17">
      <c r="A343" s="1" t="s">
        <v>25</v>
      </c>
      <c r="B343" s="9">
        <v>46193</v>
      </c>
      <c r="C343" s="9">
        <v>46233</v>
      </c>
      <c r="D343" s="5">
        <v>0.427083333333333</v>
      </c>
      <c r="E343" s="1">
        <f t="shared" si="15"/>
        <v>2026</v>
      </c>
      <c r="F343" s="1">
        <f ca="1" t="shared" si="16"/>
        <v>2</v>
      </c>
      <c r="G343" s="1" t="s">
        <v>18</v>
      </c>
      <c r="H343" s="1" t="s">
        <v>332</v>
      </c>
      <c r="I343" s="1" t="s">
        <v>168</v>
      </c>
      <c r="J343" s="1" t="s">
        <v>21</v>
      </c>
      <c r="K343" s="1" t="s">
        <v>36</v>
      </c>
      <c r="L343" s="1">
        <v>420000</v>
      </c>
      <c r="M343" s="1" t="s">
        <v>31</v>
      </c>
      <c r="N343" s="1" t="s">
        <v>24</v>
      </c>
      <c r="O343" s="1">
        <v>410000</v>
      </c>
      <c r="P343" s="1">
        <v>0.5</v>
      </c>
      <c r="Q343" s="1">
        <f t="shared" si="17"/>
        <v>205000</v>
      </c>
    </row>
    <row r="344" ht="14.25" hidden="1" customHeight="1" spans="1:17">
      <c r="A344" s="1" t="s">
        <v>17</v>
      </c>
      <c r="B344" s="9">
        <v>46143</v>
      </c>
      <c r="C344" s="9">
        <v>46263</v>
      </c>
      <c r="D344" s="5">
        <v>0.635416666666667</v>
      </c>
      <c r="E344" s="1">
        <f t="shared" si="15"/>
        <v>2026</v>
      </c>
      <c r="F344" s="1">
        <f ca="1" t="shared" si="16"/>
        <v>32</v>
      </c>
      <c r="G344" s="1" t="s">
        <v>26</v>
      </c>
      <c r="H344" s="1" t="s">
        <v>333</v>
      </c>
      <c r="I344" s="1" t="s">
        <v>23</v>
      </c>
      <c r="J344" s="1" t="s">
        <v>29</v>
      </c>
      <c r="K344" s="1" t="s">
        <v>22</v>
      </c>
      <c r="L344" s="1">
        <v>180000</v>
      </c>
      <c r="M344" s="1" t="s">
        <v>23</v>
      </c>
      <c r="N344" s="1" t="s">
        <v>24</v>
      </c>
      <c r="O344" s="1">
        <v>175000</v>
      </c>
      <c r="P344" s="1">
        <v>0.3</v>
      </c>
      <c r="Q344" s="1">
        <f t="shared" si="17"/>
        <v>52500</v>
      </c>
    </row>
    <row r="345" ht="14.25" hidden="1" customHeight="1" spans="1:17">
      <c r="A345" s="1" t="s">
        <v>125</v>
      </c>
      <c r="B345" s="9">
        <v>46153</v>
      </c>
      <c r="C345" s="9">
        <v>46229</v>
      </c>
      <c r="D345" s="5">
        <v>0.447916666666667</v>
      </c>
      <c r="E345" s="1">
        <f t="shared" si="15"/>
        <v>2026</v>
      </c>
      <c r="F345" s="1">
        <f ca="1" t="shared" si="16"/>
        <v>-2</v>
      </c>
      <c r="G345" s="1" t="s">
        <v>18</v>
      </c>
      <c r="H345" s="1" t="s">
        <v>334</v>
      </c>
      <c r="I345" s="1" t="s">
        <v>120</v>
      </c>
      <c r="J345" s="1" t="s">
        <v>21</v>
      </c>
      <c r="K345" s="1" t="s">
        <v>21</v>
      </c>
      <c r="L345" s="1">
        <v>300000</v>
      </c>
      <c r="M345" s="1" t="s">
        <v>42</v>
      </c>
      <c r="N345" s="1" t="s">
        <v>32</v>
      </c>
      <c r="O345" s="1">
        <v>287096</v>
      </c>
      <c r="P345" s="1">
        <v>0.3</v>
      </c>
      <c r="Q345" s="1">
        <f t="shared" si="17"/>
        <v>86128.8</v>
      </c>
    </row>
    <row r="346" ht="14.25" hidden="1" customHeight="1" spans="1:17">
      <c r="A346" s="1" t="s">
        <v>43</v>
      </c>
      <c r="B346" s="9">
        <v>46161</v>
      </c>
      <c r="C346" s="9">
        <v>46219</v>
      </c>
      <c r="D346" s="5">
        <v>0.5625</v>
      </c>
      <c r="E346" s="1">
        <f t="shared" si="15"/>
        <v>2026</v>
      </c>
      <c r="F346" s="1">
        <f ca="1" t="shared" si="16"/>
        <v>-12</v>
      </c>
      <c r="G346" s="1" t="s">
        <v>18</v>
      </c>
      <c r="H346" s="1" t="s">
        <v>335</v>
      </c>
      <c r="I346" s="1" t="s">
        <v>228</v>
      </c>
      <c r="J346" s="1" t="s">
        <v>21</v>
      </c>
      <c r="K346" s="1" t="s">
        <v>102</v>
      </c>
      <c r="L346" s="1">
        <v>120000</v>
      </c>
      <c r="M346" s="1" t="s">
        <v>77</v>
      </c>
      <c r="N346" s="1" t="s">
        <v>32</v>
      </c>
      <c r="O346" s="1">
        <v>109418</v>
      </c>
      <c r="P346" s="1">
        <v>0.6</v>
      </c>
      <c r="Q346" s="1">
        <f t="shared" si="17"/>
        <v>65650.8</v>
      </c>
    </row>
    <row r="347" ht="14.25" hidden="1" customHeight="1" spans="1:17">
      <c r="A347" s="1" t="s">
        <v>43</v>
      </c>
      <c r="B347" s="9">
        <v>46161</v>
      </c>
      <c r="C347" s="9">
        <v>46246</v>
      </c>
      <c r="D347" s="5">
        <v>0.645833333333333</v>
      </c>
      <c r="E347" s="1">
        <f t="shared" si="15"/>
        <v>2026</v>
      </c>
      <c r="F347" s="1">
        <f ca="1" t="shared" si="16"/>
        <v>15</v>
      </c>
      <c r="G347" s="1" t="s">
        <v>26</v>
      </c>
      <c r="H347" s="1" t="s">
        <v>336</v>
      </c>
      <c r="I347" s="1" t="s">
        <v>228</v>
      </c>
      <c r="J347" s="1" t="s">
        <v>21</v>
      </c>
      <c r="K347" s="1" t="s">
        <v>71</v>
      </c>
      <c r="L347" s="1">
        <v>300000</v>
      </c>
      <c r="M347" s="1" t="s">
        <v>31</v>
      </c>
      <c r="N347" s="1" t="s">
        <v>32</v>
      </c>
      <c r="O347" s="1">
        <v>280255</v>
      </c>
      <c r="P347" s="1">
        <v>0.8</v>
      </c>
      <c r="Q347" s="1">
        <f t="shared" si="17"/>
        <v>224204</v>
      </c>
    </row>
    <row r="348" ht="14.25" hidden="1" customHeight="1" spans="1:17">
      <c r="A348" s="1" t="s">
        <v>25</v>
      </c>
      <c r="B348" s="9">
        <v>46164</v>
      </c>
      <c r="C348" s="9">
        <v>46303</v>
      </c>
      <c r="D348" s="5">
        <v>0.625</v>
      </c>
      <c r="E348" s="1">
        <f t="shared" si="15"/>
        <v>2026</v>
      </c>
      <c r="F348" s="1">
        <f ca="1" t="shared" si="16"/>
        <v>72</v>
      </c>
      <c r="G348" s="1" t="s">
        <v>38</v>
      </c>
      <c r="H348" s="1" t="s">
        <v>337</v>
      </c>
      <c r="I348" s="1" t="s">
        <v>168</v>
      </c>
      <c r="J348" s="1" t="s">
        <v>21</v>
      </c>
      <c r="K348" s="1" t="s">
        <v>36</v>
      </c>
      <c r="L348" s="1">
        <v>600000</v>
      </c>
      <c r="M348" s="1" t="s">
        <v>42</v>
      </c>
      <c r="N348" s="1" t="s">
        <v>57</v>
      </c>
      <c r="O348" s="1">
        <v>571974</v>
      </c>
      <c r="P348" s="1">
        <v>0.5</v>
      </c>
      <c r="Q348" s="1">
        <f t="shared" si="17"/>
        <v>285987</v>
      </c>
    </row>
    <row r="349" ht="14.25" hidden="1" customHeight="1" spans="1:17">
      <c r="A349" s="1" t="s">
        <v>125</v>
      </c>
      <c r="B349" s="9">
        <v>46170</v>
      </c>
      <c r="C349" s="9">
        <v>46220</v>
      </c>
      <c r="D349" s="5">
        <v>0.614583333333333</v>
      </c>
      <c r="E349" s="1">
        <f t="shared" si="15"/>
        <v>2026</v>
      </c>
      <c r="F349" s="1">
        <f ca="1" t="shared" si="16"/>
        <v>-11</v>
      </c>
      <c r="G349" s="1" t="s">
        <v>26</v>
      </c>
      <c r="H349" s="1" t="s">
        <v>338</v>
      </c>
      <c r="I349" s="1" t="s">
        <v>168</v>
      </c>
      <c r="J349" s="1" t="s">
        <v>29</v>
      </c>
      <c r="K349" s="1" t="s">
        <v>22</v>
      </c>
      <c r="L349" s="1">
        <v>250000</v>
      </c>
      <c r="M349" s="1" t="s">
        <v>23</v>
      </c>
      <c r="N349" s="1" t="s">
        <v>57</v>
      </c>
      <c r="O349" s="1">
        <v>239229</v>
      </c>
      <c r="P349" s="1">
        <v>0.6</v>
      </c>
      <c r="Q349" s="1">
        <f t="shared" si="17"/>
        <v>143537.4</v>
      </c>
    </row>
    <row r="350" ht="14.25" hidden="1" customHeight="1" spans="1:17">
      <c r="A350" s="1" t="s">
        <v>125</v>
      </c>
      <c r="B350" s="9">
        <v>46158</v>
      </c>
      <c r="C350" s="9">
        <v>46248</v>
      </c>
      <c r="D350" s="5">
        <v>0.604166666666667</v>
      </c>
      <c r="E350" s="1">
        <f t="shared" si="15"/>
        <v>2026</v>
      </c>
      <c r="F350" s="1">
        <f ca="1" t="shared" si="16"/>
        <v>17</v>
      </c>
      <c r="G350" s="1" t="s">
        <v>18</v>
      </c>
      <c r="H350" s="1" t="s">
        <v>339</v>
      </c>
      <c r="I350" s="1" t="s">
        <v>331</v>
      </c>
      <c r="J350" s="1" t="s">
        <v>41</v>
      </c>
      <c r="K350" s="1" t="s">
        <v>102</v>
      </c>
      <c r="L350" s="1">
        <v>120000</v>
      </c>
      <c r="M350" s="1" t="s">
        <v>42</v>
      </c>
      <c r="N350" s="1" t="s">
        <v>340</v>
      </c>
      <c r="O350" s="1">
        <v>109191</v>
      </c>
      <c r="P350" s="1">
        <v>0.5</v>
      </c>
      <c r="Q350" s="1">
        <f t="shared" si="17"/>
        <v>54595.5</v>
      </c>
    </row>
    <row r="351" ht="14.25" hidden="1" customHeight="1" spans="1:17">
      <c r="A351" s="1" t="s">
        <v>17</v>
      </c>
      <c r="B351" s="9">
        <v>46130</v>
      </c>
      <c r="C351" s="9">
        <v>46218</v>
      </c>
      <c r="D351" s="5">
        <v>0.53125</v>
      </c>
      <c r="E351" s="1">
        <f t="shared" si="15"/>
        <v>2026</v>
      </c>
      <c r="F351" s="1">
        <f ca="1" t="shared" si="16"/>
        <v>-13</v>
      </c>
      <c r="G351" s="1" t="s">
        <v>26</v>
      </c>
      <c r="H351" s="1" t="s">
        <v>341</v>
      </c>
      <c r="I351" s="1" t="s">
        <v>162</v>
      </c>
      <c r="J351" s="1" t="s">
        <v>21</v>
      </c>
      <c r="K351" s="1" t="s">
        <v>22</v>
      </c>
      <c r="L351" s="1">
        <v>600000</v>
      </c>
      <c r="M351" s="1" t="s">
        <v>23</v>
      </c>
      <c r="N351" s="1" t="s">
        <v>24</v>
      </c>
      <c r="O351" s="1">
        <v>562196</v>
      </c>
      <c r="P351" s="1">
        <v>0.4</v>
      </c>
      <c r="Q351" s="1">
        <f t="shared" si="17"/>
        <v>224878.4</v>
      </c>
    </row>
    <row r="352" ht="14.25" hidden="1" customHeight="1" spans="1:17">
      <c r="A352" s="1" t="s">
        <v>48</v>
      </c>
      <c r="B352" s="9">
        <v>46187</v>
      </c>
      <c r="C352" s="9">
        <v>46232</v>
      </c>
      <c r="D352" s="5">
        <v>0.510416666666667</v>
      </c>
      <c r="E352" s="1">
        <f t="shared" si="15"/>
        <v>2026</v>
      </c>
      <c r="F352" s="1">
        <f ca="1" t="shared" si="16"/>
        <v>1</v>
      </c>
      <c r="G352" s="1" t="s">
        <v>26</v>
      </c>
      <c r="H352" s="1" t="s">
        <v>342</v>
      </c>
      <c r="I352" s="1" t="s">
        <v>228</v>
      </c>
      <c r="J352" s="1" t="s">
        <v>21</v>
      </c>
      <c r="K352" s="1" t="s">
        <v>71</v>
      </c>
      <c r="L352" s="1">
        <v>500000</v>
      </c>
      <c r="M352" s="1" t="s">
        <v>42</v>
      </c>
      <c r="N352" s="1" t="s">
        <v>57</v>
      </c>
      <c r="O352" s="1">
        <v>488214</v>
      </c>
      <c r="P352" s="1">
        <v>0.4</v>
      </c>
      <c r="Q352" s="1">
        <f t="shared" si="17"/>
        <v>195285.6</v>
      </c>
    </row>
    <row r="353" ht="14.25" hidden="1" customHeight="1" spans="1:17">
      <c r="A353" s="1" t="s">
        <v>43</v>
      </c>
      <c r="B353" s="9">
        <v>46139</v>
      </c>
      <c r="C353" s="9">
        <v>46260</v>
      </c>
      <c r="D353" s="5">
        <v>0.489583333333333</v>
      </c>
      <c r="E353" s="1">
        <f t="shared" si="15"/>
        <v>2026</v>
      </c>
      <c r="F353" s="1">
        <f ca="1" t="shared" si="16"/>
        <v>29</v>
      </c>
      <c r="G353" s="1" t="s">
        <v>38</v>
      </c>
      <c r="H353" s="1" t="s">
        <v>333</v>
      </c>
      <c r="I353" s="1" t="s">
        <v>168</v>
      </c>
      <c r="J353" s="1" t="s">
        <v>41</v>
      </c>
      <c r="K353" s="1" t="s">
        <v>22</v>
      </c>
      <c r="L353" s="1">
        <v>250000</v>
      </c>
      <c r="M353" s="1" t="s">
        <v>77</v>
      </c>
      <c r="N353" s="1" t="s">
        <v>32</v>
      </c>
      <c r="O353" s="1">
        <v>239310</v>
      </c>
      <c r="P353" s="1">
        <v>0.6</v>
      </c>
      <c r="Q353" s="1">
        <f t="shared" si="17"/>
        <v>143586</v>
      </c>
    </row>
    <row r="354" ht="14.25" hidden="1" customHeight="1" spans="1:17">
      <c r="A354" s="1" t="s">
        <v>130</v>
      </c>
      <c r="B354" s="9">
        <v>46178</v>
      </c>
      <c r="C354" s="9">
        <v>46318</v>
      </c>
      <c r="D354" s="5">
        <v>0.65625</v>
      </c>
      <c r="E354" s="1">
        <f t="shared" si="15"/>
        <v>2026</v>
      </c>
      <c r="F354" s="1">
        <f ca="1" t="shared" si="16"/>
        <v>87</v>
      </c>
      <c r="G354" s="1" t="s">
        <v>18</v>
      </c>
      <c r="H354" s="1" t="s">
        <v>343</v>
      </c>
      <c r="I354" s="1" t="s">
        <v>248</v>
      </c>
      <c r="J354" s="1" t="s">
        <v>41</v>
      </c>
      <c r="K354" s="1" t="s">
        <v>22</v>
      </c>
      <c r="L354" s="1">
        <v>180000</v>
      </c>
      <c r="M354" s="1" t="s">
        <v>42</v>
      </c>
      <c r="N354" s="1" t="s">
        <v>24</v>
      </c>
      <c r="O354" s="1">
        <v>169924</v>
      </c>
      <c r="P354" s="1">
        <v>0.3</v>
      </c>
      <c r="Q354" s="1">
        <f t="shared" si="17"/>
        <v>50977.2</v>
      </c>
    </row>
    <row r="355" ht="14.25" hidden="1" customHeight="1" spans="1:17">
      <c r="A355" s="1" t="s">
        <v>344</v>
      </c>
      <c r="B355" s="9">
        <v>46173</v>
      </c>
      <c r="C355" s="9">
        <v>46253</v>
      </c>
      <c r="D355" s="5">
        <v>0.53125</v>
      </c>
      <c r="E355" s="1">
        <f t="shared" si="15"/>
        <v>2026</v>
      </c>
      <c r="F355" s="1">
        <f ca="1" t="shared" si="16"/>
        <v>22</v>
      </c>
      <c r="G355" s="1" t="s">
        <v>38</v>
      </c>
      <c r="H355" s="1" t="s">
        <v>345</v>
      </c>
      <c r="I355" s="1" t="s">
        <v>45</v>
      </c>
      <c r="J355" s="1" t="s">
        <v>29</v>
      </c>
      <c r="K355" s="1" t="s">
        <v>102</v>
      </c>
      <c r="L355" s="1">
        <v>250000</v>
      </c>
      <c r="M355" s="1" t="s">
        <v>31</v>
      </c>
      <c r="N355" s="1" t="s">
        <v>24</v>
      </c>
      <c r="O355" s="1">
        <v>244037</v>
      </c>
      <c r="P355" s="1">
        <v>0.8</v>
      </c>
      <c r="Q355" s="1">
        <f t="shared" si="17"/>
        <v>195229.6</v>
      </c>
    </row>
    <row r="356" ht="14.25" hidden="1" customHeight="1" spans="1:17">
      <c r="A356" s="1" t="s">
        <v>17</v>
      </c>
      <c r="B356" s="9">
        <v>46152</v>
      </c>
      <c r="C356" s="9">
        <v>46228</v>
      </c>
      <c r="D356" s="5">
        <v>0.5</v>
      </c>
      <c r="E356" s="1">
        <f t="shared" si="15"/>
        <v>2026</v>
      </c>
      <c r="F356" s="1">
        <f ca="1" t="shared" si="16"/>
        <v>-3</v>
      </c>
      <c r="G356" s="1" t="s">
        <v>18</v>
      </c>
      <c r="H356" s="1" t="s">
        <v>346</v>
      </c>
      <c r="I356" s="1" t="s">
        <v>23</v>
      </c>
      <c r="J356" s="1" t="s">
        <v>29</v>
      </c>
      <c r="K356" s="1" t="s">
        <v>102</v>
      </c>
      <c r="L356" s="1">
        <v>120000</v>
      </c>
      <c r="M356" s="1" t="s">
        <v>42</v>
      </c>
      <c r="N356" s="1" t="s">
        <v>340</v>
      </c>
      <c r="O356" s="1">
        <v>110013</v>
      </c>
      <c r="P356" s="1">
        <v>0.3</v>
      </c>
      <c r="Q356" s="1">
        <f t="shared" si="17"/>
        <v>33003.9</v>
      </c>
    </row>
    <row r="357" ht="14.25" hidden="1" customHeight="1" spans="1:17">
      <c r="A357" s="1" t="s">
        <v>43</v>
      </c>
      <c r="B357" s="9">
        <v>46130</v>
      </c>
      <c r="C357" s="9">
        <v>46248</v>
      </c>
      <c r="D357" s="5">
        <v>0.510416666666667</v>
      </c>
      <c r="E357" s="1">
        <f t="shared" si="15"/>
        <v>2026</v>
      </c>
      <c r="F357" s="1">
        <f ca="1" t="shared" si="16"/>
        <v>17</v>
      </c>
      <c r="G357" s="1" t="s">
        <v>18</v>
      </c>
      <c r="H357" s="1" t="s">
        <v>347</v>
      </c>
      <c r="I357" s="1" t="s">
        <v>75</v>
      </c>
      <c r="J357" s="1" t="s">
        <v>41</v>
      </c>
      <c r="K357" s="1" t="s">
        <v>21</v>
      </c>
      <c r="L357" s="1">
        <v>180000</v>
      </c>
      <c r="M357" s="1" t="s">
        <v>31</v>
      </c>
      <c r="N357" s="1" t="s">
        <v>340</v>
      </c>
      <c r="O357" s="1">
        <v>188405</v>
      </c>
      <c r="P357" s="1">
        <v>0.3</v>
      </c>
      <c r="Q357" s="1">
        <f t="shared" si="17"/>
        <v>56521.5</v>
      </c>
    </row>
    <row r="358" ht="14.25" hidden="1" customHeight="1" spans="1:17">
      <c r="A358" s="1" t="s">
        <v>43</v>
      </c>
      <c r="B358" s="9">
        <v>46173</v>
      </c>
      <c r="C358" s="9">
        <v>46324</v>
      </c>
      <c r="D358" s="5">
        <v>0.552083333333333</v>
      </c>
      <c r="E358" s="1">
        <f t="shared" si="15"/>
        <v>2026</v>
      </c>
      <c r="F358" s="1">
        <f ca="1" t="shared" si="16"/>
        <v>93</v>
      </c>
      <c r="G358" s="1" t="s">
        <v>38</v>
      </c>
      <c r="H358" s="1" t="s">
        <v>348</v>
      </c>
      <c r="I358" s="1" t="s">
        <v>23</v>
      </c>
      <c r="J358" s="1" t="s">
        <v>29</v>
      </c>
      <c r="K358" s="1" t="s">
        <v>145</v>
      </c>
      <c r="L358" s="1">
        <v>250000</v>
      </c>
      <c r="M358" s="1" t="s">
        <v>42</v>
      </c>
      <c r="N358" s="1" t="s">
        <v>340</v>
      </c>
      <c r="O358" s="1">
        <v>259834</v>
      </c>
      <c r="P358" s="1">
        <v>0.4</v>
      </c>
      <c r="Q358" s="1">
        <f t="shared" si="17"/>
        <v>103933.6</v>
      </c>
    </row>
    <row r="359" ht="14.25" hidden="1" customHeight="1" spans="1:17">
      <c r="A359" s="1" t="s">
        <v>125</v>
      </c>
      <c r="B359" s="9">
        <v>46190</v>
      </c>
      <c r="C359" s="9">
        <v>46223</v>
      </c>
      <c r="D359" s="5">
        <v>0.458333333333333</v>
      </c>
      <c r="E359" s="1">
        <f t="shared" si="15"/>
        <v>2026</v>
      </c>
      <c r="F359" s="1">
        <f ca="1" t="shared" si="16"/>
        <v>-8</v>
      </c>
      <c r="G359" s="1" t="s">
        <v>18</v>
      </c>
      <c r="H359" s="1" t="s">
        <v>349</v>
      </c>
      <c r="I359" s="1" t="s">
        <v>20</v>
      </c>
      <c r="J359" s="1" t="s">
        <v>29</v>
      </c>
      <c r="K359" s="1" t="s">
        <v>22</v>
      </c>
      <c r="L359" s="1">
        <v>420000</v>
      </c>
      <c r="M359" s="1" t="s">
        <v>77</v>
      </c>
      <c r="N359" s="1" t="s">
        <v>340</v>
      </c>
      <c r="O359" s="1">
        <v>393618</v>
      </c>
      <c r="P359" s="1">
        <v>0.3</v>
      </c>
      <c r="Q359" s="1">
        <f t="shared" si="17"/>
        <v>118085.4</v>
      </c>
    </row>
    <row r="360" ht="14.25" hidden="1" customHeight="1" spans="1:17">
      <c r="A360" s="1" t="s">
        <v>48</v>
      </c>
      <c r="B360" s="9">
        <v>46169</v>
      </c>
      <c r="C360" s="9">
        <v>46218</v>
      </c>
      <c r="D360" s="5">
        <v>0.65625</v>
      </c>
      <c r="E360" s="1">
        <f t="shared" si="15"/>
        <v>2026</v>
      </c>
      <c r="F360" s="1">
        <f ca="1" t="shared" si="16"/>
        <v>-13</v>
      </c>
      <c r="G360" s="1" t="s">
        <v>38</v>
      </c>
      <c r="H360" s="1" t="s">
        <v>350</v>
      </c>
      <c r="I360" s="1" t="s">
        <v>228</v>
      </c>
      <c r="J360" s="1" t="s">
        <v>29</v>
      </c>
      <c r="K360" s="1" t="s">
        <v>21</v>
      </c>
      <c r="L360" s="1">
        <v>300000</v>
      </c>
      <c r="M360" s="1" t="s">
        <v>31</v>
      </c>
      <c r="N360" s="1" t="s">
        <v>32</v>
      </c>
      <c r="O360" s="1">
        <v>298399</v>
      </c>
      <c r="P360" s="1">
        <v>0.8</v>
      </c>
      <c r="Q360" s="1">
        <f t="shared" si="17"/>
        <v>238719.2</v>
      </c>
    </row>
    <row r="361" ht="14.25" hidden="1" customHeight="1" spans="1:17">
      <c r="A361" s="1" t="s">
        <v>25</v>
      </c>
      <c r="B361" s="9">
        <v>46138</v>
      </c>
      <c r="C361" s="9">
        <v>46223</v>
      </c>
      <c r="D361" s="5">
        <v>0.645833333333333</v>
      </c>
      <c r="E361" s="1">
        <f t="shared" si="15"/>
        <v>2026</v>
      </c>
      <c r="F361" s="1">
        <f ca="1" t="shared" si="16"/>
        <v>-8</v>
      </c>
      <c r="G361" s="1" t="s">
        <v>38</v>
      </c>
      <c r="H361" s="1" t="s">
        <v>351</v>
      </c>
      <c r="I361" s="1" t="s">
        <v>120</v>
      </c>
      <c r="J361" s="1" t="s">
        <v>41</v>
      </c>
      <c r="K361" s="1" t="s">
        <v>71</v>
      </c>
      <c r="L361" s="1">
        <v>300000</v>
      </c>
      <c r="M361" s="1" t="s">
        <v>42</v>
      </c>
      <c r="N361" s="1" t="s">
        <v>340</v>
      </c>
      <c r="O361" s="1">
        <v>294265</v>
      </c>
      <c r="P361" s="1">
        <v>0.4</v>
      </c>
      <c r="Q361" s="1">
        <f t="shared" si="17"/>
        <v>117706</v>
      </c>
    </row>
  </sheetData>
  <autoFilter xmlns:etc="http://www.wps.cn/officeDocument/2017/etCustomData" ref="A1:P361" etc:filterBottomFollowUsedRange="0">
    <filterColumn colId="15">
      <filters>
        <filter val="80%"/>
        <filter val="100%"/>
      </filters>
    </filterColumn>
    <extLst/>
  </autoFilter>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1</vt:i4>
      </vt:variant>
    </vt:vector>
  </HeadingPairs>
  <TitlesOfParts>
    <vt:vector size="1" baseType="lpstr">
      <vt:lpstr>Opportunités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Samaali Samar</cp:lastModifiedBy>
  <cp:revision>0</cp:revision>
  <dcterms:created xsi:type="dcterms:W3CDTF">2026-07-13T08:20:00Z</dcterms:created>
  <dcterms:modified xsi:type="dcterms:W3CDTF">2026-07-29T07:52:12Z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367D5A1BDE1D46B9AD9C9AC30AC94862_12</vt:lpwstr>
  </property>
  <property fmtid="{D5CDD505-2E9C-101B-9397-08002B2CF9AE}" pid="4" name="KSOProductBuildVer">
    <vt:lpwstr>1036-12.1.0.27458</vt:lpwstr>
  </property>
</Properties>
</file>